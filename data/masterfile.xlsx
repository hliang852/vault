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file" sheetId="2" state="visible" r:id="rId4"/>
    <sheet name="Watchlist &amp; Rumored" sheetId="3" state="visible" r:id="rId5"/>
  </sheets>
  <definedNames>
    <definedName function="false" hidden="true" localSheetId="1" name="_xlnm._FilterDatabase" vbProcedure="false">Masterfile!$A$1:$AH$63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<sst xmlns="http://schemas.openxmlformats.org/spreadsheetml/2006/main" count="1908" uniqueCount="1193">
  <si>
    <t xml:space="preserve">JAPAN M&amp;A, TAKEOVERS &amp; SPECIAL SITUATIONS — MASTERFILE (Phase 1 of 2)</t>
  </si>
  <si>
    <t xml:space="preserve">Scope: deals &amp; campaigns announced 2023/01/01 – 2026/06/30 · Target or acquirer Japanese · Deal size &gt; US$100mn (activist campaigns included by stake/impact) · Compiled 2026/07/03</t>
  </si>
  <si>
    <t xml:space="preserve">1. WHAT THIS FILE IS</t>
  </si>
  <si>
    <t xml:space="preserve">Structured masterfile of Japanese TOBs, MBOs, take-privates, hostile/unsolicited takeovers, cross-border M&amp;A and activist campaigns. This is Phase 1 (the data spine). Phase 2 — the PDF study guide with executive summaries, per-deal regulatory tables, vertical timelines and price charts — will be built on top of this table once the flagged fields are locked down.</t>
  </si>
  <si>
    <t xml:space="preserve">2. HONEST LIMITATIONS — READ BEFORE RELYING ON THIS</t>
  </si>
  <si>
    <t xml:space="preserve">(a) COVERAGE: Japan recorded ~5,100 M&amp;A transactions in 2025 alone (RECOF). A literally complete &gt;$100mn universe over 3.5 years is several hundred rows and requires a licensed database (Bloomberg MA&lt;GO&gt;, LSEG/Refinitiv, Mergermarket, MARR/RECOF, SPEEDA). This file covers the ~60 most significant and precedent-setting situations across every requested category — the ones any special-situations study guide must include — and is built to be extended.</t>
  </si>
  <si>
    <r>
      <rPr>
        <sz val="9"/>
        <rFont val="Arial"/>
        <family val="0"/>
        <charset val="1"/>
      </rPr>
      <t xml:space="preserve">(b) VERIFICATION: Cells marked TBV (amber) are best-recollection estimates or approximations that MUST be verified against primary sources (TDnet filings, EDINET tender offer registration statements </t>
    </r>
    <r>
      <rPr>
        <sz val="9"/>
        <rFont val="Noto Sans CJK SC"/>
        <family val="2"/>
      </rPr>
      <t xml:space="preserve">公開買付届出書</t>
    </r>
    <r>
      <rPr>
        <sz val="9"/>
        <rFont val="Arial"/>
        <family val="0"/>
        <charset val="1"/>
      </rPr>
      <t xml:space="preserve">, target board opinion statements </t>
    </r>
    <r>
      <rPr>
        <sz val="9"/>
        <rFont val="Noto Sans CJK SC"/>
        <family val="2"/>
      </rPr>
      <t xml:space="preserve">意見表明報告書</t>
    </r>
    <r>
      <rPr>
        <sz val="9"/>
        <rFont val="Arial"/>
        <family val="0"/>
        <charset val="1"/>
      </rPr>
      <t xml:space="preserve">, press releases) before external use. The 'Verification Status' column grades each row: 'Verified via search (Jul 2026)' = checked against current sources; 'High confidence' = extensively documented public record; 'Medium/Low' = verify dates, prices, premiums.</t>
    </r>
  </si>
  <si>
    <t xml:space="preserve">(c) PRICE DATA: Unaffected prices and premiums are the most error-prone fields from memory; where I was not confident I wrote TBV rather than fabricate a number. Phase 2 price charts require a proper price feed (e.g., TSE/exchange data) — I will not draw charts from invented prices.</t>
  </si>
  <si>
    <t xml:space="preserve">3. CONVENTIONS</t>
  </si>
  <si>
    <t xml:space="preserve">Dates: yyyy/mm/dd. Announcement date = first public announcement/confirmed proposal (for activist campaigns: first public disclosure/13D-equivalent or campaign launch). Completion = squeeze-out/settlement or delisting where noted; Failure = withdrawal/termination date. FX: US$ figures are as reported at announcement where available; otherwise ≈¥145-155/US$ period rates. Deal size: equity value of shares acquired unless noted EV. Activist campaign rows use stake value in the size columns and n/a in offer-price fields.</t>
  </si>
  <si>
    <t xml:space="preserve">4. FIELD DICTIONARY — ADDITIONS I MADE AS A PRACTITIONER (beyond your requested fields)</t>
  </si>
  <si>
    <t xml:space="preserve">• Final vs Initial Offer Price + bump count — bump frequency is now the single most tradeable Japan special-sits statistic (Fancl, Benefit One, Shibaura, Fuji Soft).</t>
  </si>
  <si>
    <t xml:space="preserve">• Special Committee (Y/N) — post-METI-2023-guidelines, committee process quality drives both deal certainty and appraisal risk.</t>
  </si>
  <si>
    <t xml:space="preserve">• Competing Bid / Interloper — interloper risk is the defining feature of the 2024-26 market; needed for base-rate analysis.</t>
  </si>
  <si>
    <t xml:space="preserve">• Toehold / Irrevocables / Tender Agreements — lock-ups decided Fuji Soft (3D+Farallon 33% to KKR) and Taiyo (42.2% to KKR); essential field.</t>
  </si>
  <si>
    <t xml:space="preserve">• Squeeze-out Mechanism — share consolidation vs demand-for-cash-out determines appraisal route (Companies Act Art. 172 vs 179-8).</t>
  </si>
  <si>
    <t xml:space="preserve">• Delisting Date — the true end of an arb position (borrow, index flows).</t>
  </si>
  <si>
    <t xml:space="preserve">• Verification Status + Notes — data hygiene.</t>
  </si>
  <si>
    <t xml:space="preserve">FURTHER FIELDS I RECOMMEND ADDING IN PHASE 1B (columns reserved conceptually, not yet populated): Premium to 1M/3M VWAP (standard in Japanese fairness analyses, less noisy than spot); Minimum tender condition &amp; MoM condition (Y/N); Fairness opinion provider &amp; financial/legal advisors; FEFTA classification (core / designated / none); Appraisal &amp; litigation docket (Art.172 petitions — Taisho, JSR etc.); Financing (LBO lenders / preferred structures); Break fee (rare but emerging); TSE market segment &amp; index membership (TOPIX/Nikkei removal flows); Founder/family ownership %; PBR at announcement (the TSE-reform metric).</t>
  </si>
  <si>
    <t xml:space="preserve">5. REGULATORY MAP USED IN THE 'RULES' COLUMN</t>
  </si>
  <si>
    <t xml:space="preserve">FIEA (Financial Instruments &amp; Exchange Act) TOB rules — note the amended mandatory-TOB regime effective 2026/05/01 (threshold lowered to 30%, on-market purchases captured; also amended large-shareholding rules) which reshapes every deal announced after that date. FEFTA (Foreign Exchange &amp; Foreign Trade Act) inward FDI screening — 'core designated business' review was decisive in Yageo/Shibaura (7-month review, conditions) and framed Seven &amp; i/ACT (core designation Sep 2024). METI Corporate Takeover Guidelines (Aug 2023) — 'bona fide offer' duty to consider; governs consentless bids (Takisawa, Brother/Roland DG, AZ-COM/C&amp;F, Nidec/Makino, Yageo). Companies Act — squeeze-outs, appraisal (Art.172), EGMs, share exchanges. JFTC (AMA) + foreign merger control — China SAMR was the binding constraint on JSR and Shinko; EU FSR first bit a Japan LBO in Outsourcing/Bain. Sector regimes — Banking Act (Shinsei), Broadcast Act foreign caps (Fuji Media), insurance change-of-control (Nippon Life, Sompo, Meiji Yasuda), CFIUS/DPA s.721 + golden share (Nippon Steel/US Steel).</t>
  </si>
  <si>
    <t xml:space="preserve">6. TABS</t>
  </si>
  <si>
    <t xml:space="preserve">Masterfile — the structured table (one row per situation; contests shown as one row per bid where the failed bid is itself a landmark, e.g., Nidec/Makino vs MBK/Makino; ACT/Seven &amp; i vs York/Bain). Watchlist &amp; Rumored — situations not yet promotable to the masterfile (rumor-stage or unverified terms). Summary block at the bottom of Masterfile uses live formulas.</t>
  </si>
  <si>
    <t xml:space="preserve">7. PHASE 2 (NOT EXECUTED YET, PER YOUR INSTRUCTION)</t>
  </si>
  <si>
    <t xml:space="preserve">PDF study guide: per-deal executive summaries; regulatory-steps table (steps → triggering rules → debate points → activist involvement → resolution); annotated vertical timelines (date / event / stock move); pre-event-to-post-mortem price charts. Prerequisites: your sign-off on the deal universe below, resolution of TBV cells (I can run targeted verification passes deal-by-deal), and a price-data source for the charts.</t>
  </si>
  <si>
    <t xml:space="preserve">Deal ID</t>
  </si>
  <si>
    <t xml:space="preserve">Category</t>
  </si>
  <si>
    <t xml:space="preserve">Date Announced</t>
  </si>
  <si>
    <t xml:space="preserve">Date Completed / Failed</t>
  </si>
  <si>
    <t xml:space="preserve">Time to Close (months)</t>
  </si>
  <si>
    <t xml:space="preserve">Conclusion / Status</t>
  </si>
  <si>
    <t xml:space="preserve">Target Full Name</t>
  </si>
  <si>
    <t xml:space="preserve">Target Ticker / Exchange</t>
  </si>
  <si>
    <t xml:space="preserve">Industry</t>
  </si>
  <si>
    <t xml:space="preserve">Acquirer Full Name</t>
  </si>
  <si>
    <t xml:space="preserve">Acquirer Listed Exchange</t>
  </si>
  <si>
    <t xml:space="preserve">Deal Size (US$ mn)</t>
  </si>
  <si>
    <t xml:space="preserve">Deal Size (local, ¥ bn unless noted)</t>
  </si>
  <si>
    <t xml:space="preserve">Deal Structure</t>
  </si>
  <si>
    <t xml:space="preserve">Final Offer Price (local)</t>
  </si>
  <si>
    <t xml:space="preserve">Initial Offer / Price Bumps</t>
  </si>
  <si>
    <t xml:space="preserve">Unaffected Price (local)</t>
  </si>
  <si>
    <t xml:space="preserve">Premium to Unaffected (%)</t>
  </si>
  <si>
    <t xml:space="preserve">Board Recommendation</t>
  </si>
  <si>
    <t xml:space="preserve">Special Committee</t>
  </si>
  <si>
    <t xml:space="preserve">Competing Bid / Interloper</t>
  </si>
  <si>
    <t xml:space="preserve">Recurring Attempt by Same Acquirer?</t>
  </si>
  <si>
    <t xml:space="preserve">Toehold / Irrevocables / Tender Agreements</t>
  </si>
  <si>
    <t xml:space="preserve">Regulator 1</t>
  </si>
  <si>
    <t xml:space="preserve">Regulator 2</t>
  </si>
  <si>
    <t xml:space="preserve">Regulator 3</t>
  </si>
  <si>
    <t xml:space="preserve">Rules / Regulations Triggering Review</t>
  </si>
  <si>
    <t xml:space="preserve">Key Debate Points / Frictions</t>
  </si>
  <si>
    <t xml:space="preserve">Activism &amp; Hedge Fund Involvement</t>
  </si>
  <si>
    <t xml:space="preserve">Final Resolution Mechanism</t>
  </si>
  <si>
    <t xml:space="preserve">Squeeze-out Mechanism</t>
  </si>
  <si>
    <t xml:space="preserve">Delisting Date</t>
  </si>
  <si>
    <t xml:space="preserve">Verification Status</t>
  </si>
  <si>
    <t xml:space="preserve">Notes / Follow-ups</t>
  </si>
  <si>
    <t xml:space="preserve">JP-001</t>
  </si>
  <si>
    <t xml:space="preserve">Take-private (PE/consortium)</t>
  </si>
  <si>
    <t xml:space="preserve">Concluded</t>
  </si>
  <si>
    <t xml:space="preserve">Toshiba Corporation</t>
  </si>
  <si>
    <t xml:space="preserve">6502 JP / TSE Prime</t>
  </si>
  <si>
    <t xml:space="preserve">Industrial conglomerate / electronics</t>
  </si>
  <si>
    <t xml:space="preserve">Japan Industrial Partners (JIP)-led consortium (TBJH Inc., 20+ Japanese corporates incl. Orix, Rohm, Chubu Electric)</t>
  </si>
  <si>
    <t xml:space="preserve">Unlisted (consortium)</t>
  </si>
  <si>
    <t xml:space="preserve">All-cash TOB (¥4,620/sh) + squeeze-out (share consolidation)</t>
  </si>
  <si>
    <t xml:space="preserve">¥4,620</t>
  </si>
  <si>
    <t xml:space="preserve">¥4,620 (no bump)</t>
  </si>
  <si>
    <t xml:space="preserve">TBV (n.m. — 2-yr strategic review; stock traded on deal speculation)</t>
  </si>
  <si>
    <t xml:space="preserve">≈+9.7% vs pre-announcement (low; TBV)</t>
  </si>
  <si>
    <t xml:space="preserve">For (recommended; initially reserved opinion on tendering, later endorsed)</t>
  </si>
  <si>
    <t xml:space="preserve">Yes (Special Committee since 2022 strategic review)</t>
  </si>
  <si>
    <t xml:space="preserve">Prior interest from CVC (2021), Bain/others in 2022 process; JIP selected as preferred bidder Oct 2022</t>
  </si>
  <si>
    <t xml:space="preserve">No</t>
  </si>
  <si>
    <t xml:space="preserve">No toehold; key activists indicated support/tendered</t>
  </si>
  <si>
    <t xml:space="preserve">JFTC (Japan)</t>
  </si>
  <si>
    <t xml:space="preserve">Multiple foreign antitrust (EU, China SAMR, others)</t>
  </si>
  <si>
    <t xml:space="preserve">METI (informal; national-security-sensitive businesses)</t>
  </si>
  <si>
    <t xml:space="preserve">FIEA TOB rules; merger control in 10+ jurisdictions; FEFTA sensitivities (nuclear, defense, semiconductors) shaped all-domestic consortium</t>
  </si>
  <si>
    <t xml:space="preserve">Endgame of 2015 accounting scandal &amp; 2017 dilutive PIPE that let activists in; price seen low vs CVC's 2021 ~¥5,000 interest; board-activist standoff; failed spin-off plans (3-way/2-way split voted down)</t>
  </si>
  <si>
    <t xml:space="preserve">Effissimo (~9.9%), Farallon, Elliott, 3D Investment, King Street et al. — activist register was the deal's raison d'être; activists tendered</t>
  </si>
  <si>
    <t xml:space="preserve">TOB succeeded (78.65% tendered); squeeze-out; delisted 20 Dec 2023 after 74 years</t>
  </si>
  <si>
    <t xml:space="preserve">Share consolidation (kabushiki heigō)</t>
  </si>
  <si>
    <t xml:space="preserve">2023/12/20</t>
  </si>
  <si>
    <t xml:space="preserve">High confidence (well-documented)</t>
  </si>
  <si>
    <t xml:space="preserve">Largest Japan take-private at the time; template for 'activist-exit via consortium TOB'</t>
  </si>
  <si>
    <t xml:space="preserve">JP-002</t>
  </si>
  <si>
    <t xml:space="preserve">Take-private (state-backed fund)</t>
  </si>
  <si>
    <t xml:space="preserve">JSR Corporation</t>
  </si>
  <si>
    <t xml:space="preserve">4185 JP / TSE Prime</t>
  </si>
  <si>
    <t xml:space="preserve">Semiconductor materials (photoresists)</t>
  </si>
  <si>
    <t xml:space="preserve">JIC Capital (Japan Investment Corporation)</t>
  </si>
  <si>
    <t xml:space="preserve">Unlisted (government-backed fund)</t>
  </si>
  <si>
    <t xml:space="preserve">All-cash TOB (¥4,350/sh) + squeeze-out</t>
  </si>
  <si>
    <t xml:space="preserve">¥4,350</t>
  </si>
  <si>
    <t xml:space="preserve">¥4,350 (no bump)</t>
  </si>
  <si>
    <t xml:space="preserve">TBV (~¥3,220 pre-leak)</t>
  </si>
  <si>
    <t xml:space="preserve">≈+35% (TBV)</t>
  </si>
  <si>
    <t xml:space="preserve">For</t>
  </si>
  <si>
    <t xml:space="preserve">Yes</t>
  </si>
  <si>
    <t xml:space="preserve">None public</t>
  </si>
  <si>
    <t xml:space="preserve">None</t>
  </si>
  <si>
    <t xml:space="preserve">China SAMR (delayed launch ~9 months)</t>
  </si>
  <si>
    <t xml:space="preserve">Other foreign antitrust/FDI</t>
  </si>
  <si>
    <t xml:space="preserve">FIEA TOB; multi-jurisdiction merger control; industrial-policy screening abroad of a Japan state-backed buyer</t>
  </si>
  <si>
    <t xml:space="preserve">Government-led consolidation of chip materials; concerns re state fund crowding out private capital; long gap between announcement (Jun 2023) and TOB launch (Mar 2024) due to China clearance; arbitrage timeline risk</t>
  </si>
  <si>
    <t xml:space="preserve">No activist campaign; event-driven funds carried extended timeline risk</t>
  </si>
  <si>
    <t xml:space="preserve">TOB completed Jun 2024; squeeze-out; delisted (TBV exact date)</t>
  </si>
  <si>
    <t xml:space="preserve">Share consolidation</t>
  </si>
  <si>
    <t xml:space="preserve">2024/06 (TBV)</t>
  </si>
  <si>
    <t xml:space="preserve">Medium — verify dates/premium</t>
  </si>
  <si>
    <t xml:space="preserve">Signature 'economic security' take-private; SAMR risk case study</t>
  </si>
  <si>
    <t xml:space="preserve">JP-003</t>
  </si>
  <si>
    <t xml:space="preserve">Minority squeeze-out (parent buy-in)</t>
  </si>
  <si>
    <t xml:space="preserve">Shinsei Bank (SBI Shinsei Bank)</t>
  </si>
  <si>
    <t xml:space="preserve">8303 JP / TSE Standard</t>
  </si>
  <si>
    <t xml:space="preserve">Banking</t>
  </si>
  <si>
    <t xml:space="preserve">SBI Holdings (via SBI Regional Bank Holdings) + public-sector holders retained</t>
  </si>
  <si>
    <t xml:space="preserve">TSE Prime (8473)</t>
  </si>
  <si>
    <t xml:space="preserve">TOB for minorities (¥2,800/sh) + squeeze-out; DICJ/RCC public-fund stakes stayed</t>
  </si>
  <si>
    <t xml:space="preserve">¥2,800</t>
  </si>
  <si>
    <t xml:space="preserve">TBV</t>
  </si>
  <si>
    <t xml:space="preserve">TBV (~+45% vs undisturbed; TBV)</t>
  </si>
  <si>
    <t xml:space="preserve">Yes — SBI took control via 2021 hostile-ish TOB, then squeezed out minorities 2023</t>
  </si>
  <si>
    <t xml:space="preserve">SBI ~50.05% pre-deal</t>
  </si>
  <si>
    <t xml:space="preserve">FSA (Japan)</t>
  </si>
  <si>
    <t xml:space="preserve">JFTC</t>
  </si>
  <si>
    <t xml:space="preserve">—</t>
  </si>
  <si>
    <t xml:space="preserve">Banking Act approvals; FIEA TOB; fairness of squeeze-out price with public funds (¥350bn) still outstanding</t>
  </si>
  <si>
    <t xml:space="preserve">Repayment path for 1990s public funds; minority price fairness after SBI's below-book creep; delisting of a bank with unresolved state money</t>
  </si>
  <si>
    <t xml:space="preserve">Prior activist-era register largely gone; some funds contested price via appraisal (TBV)</t>
  </si>
  <si>
    <t xml:space="preserve">Squeeze-out completed; delisted Sep 2023</t>
  </si>
  <si>
    <t xml:space="preserve">2023/09 (TBV)</t>
  </si>
  <si>
    <t xml:space="preserve">Medium — verify prices/dates</t>
  </si>
  <si>
    <t xml:space="preserve">Rare bank delisting; sequel to 2021 SBI unsolicited TOB</t>
  </si>
  <si>
    <t xml:space="preserve">JP-004</t>
  </si>
  <si>
    <t xml:space="preserve">Unsolicited/consentless TOB (domestic strategic)</t>
  </si>
  <si>
    <t xml:space="preserve">Takisawa Machine Tool Co., Ltd.</t>
  </si>
  <si>
    <t xml:space="preserve">6121 JP / TSE Standard</t>
  </si>
  <si>
    <t xml:space="preserve">Machine tools</t>
  </si>
  <si>
    <t xml:space="preserve">Nidec Corporation</t>
  </si>
  <si>
    <t xml:space="preserve">TSE Prime (6594)</t>
  </si>
  <si>
    <t xml:space="preserve">TOB launched without prior board consent (¥2,600/sh); board later supported</t>
  </si>
  <si>
    <t xml:space="preserve">¥2,600</t>
  </si>
  <si>
    <t xml:space="preserve">¥2,600 (no bump)</t>
  </si>
  <si>
    <t xml:space="preserve">≈¥1,285 (TBV)</t>
  </si>
  <si>
    <t xml:space="preserve">≈+100% (approx. 2x; TBV)</t>
  </si>
  <si>
    <t xml:space="preserve">Initially not solicited → For (board endorsed after review)</t>
  </si>
  <si>
    <t xml:space="preserve">Yes (formed to assess 'bona fide offer')</t>
  </si>
  <si>
    <t xml:space="preserve">None emerged</t>
  </si>
  <si>
    <t xml:space="preserve">No (but part of Nidec's serial machine-tool M&amp;A: OKK, TAKISAWA, later Makino attempt)</t>
  </si>
  <si>
    <t xml:space="preserve">First high-profile application of METI Corporate Takeover Guidelines (Aug 2023): duty of board to 'sincerely consider' bona fide offers</t>
  </si>
  <si>
    <t xml:space="preserve">Legitimacy of consentless bids in Japan; 2x premium made rejection untenable; watershed normalizing unsolicited offers</t>
  </si>
  <si>
    <t xml:space="preserve">None material</t>
  </si>
  <si>
    <t xml:space="preserve">Board recommended; TOB succeeded Nov 2023; squeeze-out</t>
  </si>
  <si>
    <t xml:space="preserve">2024 (TBV)</t>
  </si>
  <si>
    <t xml:space="preserve">High confidence</t>
  </si>
  <si>
    <t xml:space="preserve">Proof-of-concept for the METI 2023 guidelines</t>
  </si>
  <si>
    <t xml:space="preserve">JP-005</t>
  </si>
  <si>
    <t xml:space="preserve">Subsidiary divestiture (PE, special situation)</t>
  </si>
  <si>
    <t xml:space="preserve">Sogo &amp; Seibu Co., Ltd. (Seven &amp; i department-store unit)</t>
  </si>
  <si>
    <t xml:space="preserve">Unlisted (parent 3382 JP)</t>
  </si>
  <si>
    <t xml:space="preserve">Department stores / retail real estate</t>
  </si>
  <si>
    <t xml:space="preserve">Fortress Investment Group (with Yodobashi Camera as anchor real-estate partner)</t>
  </si>
  <si>
    <t xml:space="preserve">Unlisted (SoftBank-affiliated at the time)</t>
  </si>
  <si>
    <t xml:space="preserve">Share sale of unlisted subsidiary; EV ¥220bn (equity portion nominal after debt/price adj.)</t>
  </si>
  <si>
    <t xml:space="preserve">n/a (private sale)</t>
  </si>
  <si>
    <t xml:space="preserve">n/a</t>
  </si>
  <si>
    <t xml:space="preserve">Seven &amp; i board approved (contested internally)</t>
  </si>
  <si>
    <t xml:space="preserve">No (parent-level decision)</t>
  </si>
  <si>
    <t xml:space="preserve">Auction (multiple PE bidders)</t>
  </si>
  <si>
    <t xml:space="preserve">Merger control; labor-relations dimension (first Japan department-store strike in 61 years, Ikebukuro, 31 Aug 2023, day before closing)</t>
  </si>
  <si>
    <t xml:space="preserve">ValueAct pressure on Seven &amp; i portfolio; Yodobashi's role at flagship Ikebukuro; price cut renegotiation; union opposition</t>
  </si>
  <si>
    <t xml:space="preserve">ValueAct campaign at parent was proximate catalyst for divestiture program</t>
  </si>
  <si>
    <t xml:space="preserve">Closing 1 Sep 2023 despite strike; asset subsequently restructured</t>
  </si>
  <si>
    <t xml:space="preserve">Included as a landmark special situation triggered by activism at listed parent</t>
  </si>
  <si>
    <t xml:space="preserve">JP-006</t>
  </si>
  <si>
    <t xml:space="preserve">Competing TOBs (first modern bidding war)</t>
  </si>
  <si>
    <t xml:space="preserve">Benefit One Inc.</t>
  </si>
  <si>
    <t xml:space="preserve">2412 JP / TSE Prime</t>
  </si>
  <si>
    <t xml:space="preserve">HR benefits platform</t>
  </si>
  <si>
    <t xml:space="preserve">Dai-ichi Life Holdings (winner); M3 Inc. (initial bidder, withdrew)</t>
  </si>
  <si>
    <t xml:space="preserve">TSE Prime (8750 winner; 2413 loser)</t>
  </si>
  <si>
    <t xml:space="preserve">Counter-TOB + acquisition of Pasona's ~51% stake; structure adjusted so Pasona exited via tender/dividend mechanics</t>
  </si>
  <si>
    <t xml:space="preserve">¥2,123 (Dai-ichi final)</t>
  </si>
  <si>
    <t xml:space="preserve">M3 ¥1,600 → Dai-ichi ¥1,800 → ¥2,123 (2 bumps by winner)</t>
  </si>
  <si>
    <t xml:space="preserve">TBV (&gt;+60% vs pre-M3 bid; TBV)</t>
  </si>
  <si>
    <t xml:space="preserve">For (switched support from M3 to Dai-ichi)</t>
  </si>
  <si>
    <t xml:space="preserve">Yes — live auction dynamic between M3 and Dai-ichi (Dec 2023–Feb 2024)</t>
  </si>
  <si>
    <t xml:space="preserve">Pasona Group ~51% (controlling seller)</t>
  </si>
  <si>
    <t xml:space="preserve">FSA (insurer acquirer)</t>
  </si>
  <si>
    <t xml:space="preserve">FIEA TOB competing-offer mechanics; board neutrality/fiduciary duty under METI guidelines; equal treatment concerns re parent exit route</t>
  </si>
  <si>
    <t xml:space="preserve">First true public bidding war of the reform era; tax-efficient exit for Pasona questioned vs minority treatment; insurer diversification logic</t>
  </si>
  <si>
    <t xml:space="preserve">Event-driven funds active in spread; no named activist campaign</t>
  </si>
  <si>
    <t xml:space="preserve">M3 withdrew Feb 2024; Dai-ichi TOB completed; squeeze-out May 2024 (TBV)</t>
  </si>
  <si>
    <t xml:space="preserve">Medium — verify final dates</t>
  </si>
  <si>
    <t xml:space="preserve">Opened the era of interloper risk in Japan TOBs</t>
  </si>
  <si>
    <t xml:space="preserve">JP-007</t>
  </si>
  <si>
    <t xml:space="preserve">MBO (founder family)</t>
  </si>
  <si>
    <t xml:space="preserve">Taisho Pharmaceutical Holdings</t>
  </si>
  <si>
    <t xml:space="preserve">4581 JP / TSE Standard</t>
  </si>
  <si>
    <t xml:space="preserve">Pharmaceuticals (OTC)</t>
  </si>
  <si>
    <t xml:space="preserve">Otemon Co. (Uehara family vehicle)</t>
  </si>
  <si>
    <t xml:space="preserve">Unlisted (family SPC)</t>
  </si>
  <si>
    <t xml:space="preserve">MBO via all-cash TOB (¥8,620/sh) + squeeze-out; largest MBO in Japan history at announcement</t>
  </si>
  <si>
    <t xml:space="preserve">¥8,620</t>
  </si>
  <si>
    <t xml:space="preserve">¥8,620 (no bump)</t>
  </si>
  <si>
    <t xml:space="preserve">≈¥5,540 (TBV)</t>
  </si>
  <si>
    <t xml:space="preserve">≈+56% (TBV)</t>
  </si>
  <si>
    <t xml:space="preserve">Uehara family ~40% (TBV)</t>
  </si>
  <si>
    <t xml:space="preserve">FIEA TOB; MoM condition not adopted (criticized); METI guidelines fairness measures</t>
  </si>
  <si>
    <t xml:space="preserve">Offer at ~0.85x P/B — 'cheap take-private' emblematic of MBO underpricing debate; special committee process questioned; appraisal rights pursued</t>
  </si>
  <si>
    <t xml:space="preserve">Oasis-affiliated and other funds criticized price; appraisal petitions filed (Art. 172 Companies Act) (TBV outcomes)</t>
  </si>
  <si>
    <t xml:space="preserve">TOB succeeded; squeeze-out; delisted Apr 2024 (TBV)</t>
  </si>
  <si>
    <t xml:space="preserve">2024/04 (TBV)</t>
  </si>
  <si>
    <t xml:space="preserve">Medium — verify premium/appraisal</t>
  </si>
  <si>
    <t xml:space="preserve">Poster child for sub-book MBO controversy</t>
  </si>
  <si>
    <t xml:space="preserve">JP-008</t>
  </si>
  <si>
    <t xml:space="preserve">MBO (founder family + PE)</t>
  </si>
  <si>
    <t xml:space="preserve">Benesse Holdings</t>
  </si>
  <si>
    <t xml:space="preserve">9783 JP / TSE Prime</t>
  </si>
  <si>
    <t xml:space="preserve">Education / nursing care</t>
  </si>
  <si>
    <t xml:space="preserve">Fukutake family + EQT (BPEA)</t>
  </si>
  <si>
    <t xml:space="preserve">EQT: STO listed; SPC unlisted</t>
  </si>
  <si>
    <t xml:space="preserve">MBO via TOB (¥2,600/sh) + squeeze-out</t>
  </si>
  <si>
    <t xml:space="preserve">≈+45% (TBV)</t>
  </si>
  <si>
    <t xml:space="preserve">Fukutake family ~30%+ rollover (TBV)</t>
  </si>
  <si>
    <t xml:space="preserve">Foreign antitrust (EQT) (TBV)</t>
  </si>
  <si>
    <t xml:space="preserve">FIEA TOB; conflicted-MBO fairness framework (rollover shareholder)</t>
  </si>
  <si>
    <t xml:space="preserve">Structural decline of core Shinkenzemi business; fairness with family rollover; first big EQT Japan P2P</t>
  </si>
  <si>
    <t xml:space="preserve">None named</t>
  </si>
  <si>
    <t xml:space="preserve">TOB + squeeze-out; delisted May 2024 (TBV)</t>
  </si>
  <si>
    <t xml:space="preserve">2024/05 (TBV)</t>
  </si>
  <si>
    <t xml:space="preserve">Medium</t>
  </si>
  <si>
    <t xml:space="preserve">JP-009</t>
  </si>
  <si>
    <t xml:space="preserve">MBO (PE-backed)</t>
  </si>
  <si>
    <t xml:space="preserve">Outsourcing Inc.</t>
  </si>
  <si>
    <t xml:space="preserve">2427 JP / TSE Prime</t>
  </si>
  <si>
    <t xml:space="preserve">HR / staffing</t>
  </si>
  <si>
    <t xml:space="preserve">Bain Capital (management participation)</t>
  </si>
  <si>
    <t xml:space="preserve">Unlisted</t>
  </si>
  <si>
    <t xml:space="preserve">TOB (¥1,755/sh) + squeeze-out</t>
  </si>
  <si>
    <t xml:space="preserve">¥1,755</t>
  </si>
  <si>
    <t xml:space="preserve">≈+50% (TBV)</t>
  </si>
  <si>
    <t xml:space="preserve">Founder/management rollover (TBV)</t>
  </si>
  <si>
    <t xml:space="preserve">European Commission — EU Foreign Subsidies Regulation (FSR)</t>
  </si>
  <si>
    <t xml:space="preserve">Other foreign clearances</t>
  </si>
  <si>
    <t xml:space="preserve">First Japanese LBO materially delayed by EU FSR notification — TOB launch pushed back ~2 months; FIEA TOB</t>
  </si>
  <si>
    <t xml:space="preserve">EU FSR as new gating item for global sponsors; compliance issues at target pre-deal</t>
  </si>
  <si>
    <t xml:space="preserve">TOB completed 2024 after FSR clearance; squeeze-out; delisted 2024 (TBV exact dates)</t>
  </si>
  <si>
    <t xml:space="preserve">Medium — verify closing dates</t>
  </si>
  <si>
    <t xml:space="preserve">Key precedent: add EU FSR to Japan deal checklists</t>
  </si>
  <si>
    <t xml:space="preserve">JP-010</t>
  </si>
  <si>
    <t xml:space="preserve">Take-private (state-backed consortium, carve-out of listed sub)</t>
  </si>
  <si>
    <t xml:space="preserve">Shinko Electric Industries</t>
  </si>
  <si>
    <t xml:space="preserve">6967 JP / TSE Prime</t>
  </si>
  <si>
    <t xml:space="preserve">Semiconductor packaging/substrates</t>
  </si>
  <si>
    <t xml:space="preserve">JIC Capital + Dai Nippon Printing + Mitsui Chemicals consortium</t>
  </si>
  <si>
    <t xml:space="preserve">JIC unlisted; DNP 7912 JP; Mitsui Chem 4183 JP</t>
  </si>
  <si>
    <t xml:space="preserve">TOB for minorities (¥5,920/sh) + Fujitsu (50%) selling into scheme; squeeze-out</t>
  </si>
  <si>
    <t xml:space="preserve">¥5,920</t>
  </si>
  <si>
    <t xml:space="preserve">Fujitsu 50% (seller support)</t>
  </si>
  <si>
    <t xml:space="preserve">China SAMR (long delay; TOB launch pushed to Aug 2024)</t>
  </si>
  <si>
    <t xml:space="preserve">Other foreign antitrust</t>
  </si>
  <si>
    <t xml:space="preserve">Multi-jurisdiction merger control on semiconductor asset; economic-security overlay</t>
  </si>
  <si>
    <t xml:space="preserve">Another JIC chip-supply-chain deal; SAMR timing risk priced by arbs; Fujitsu portfolio exit</t>
  </si>
  <si>
    <t xml:space="preserve">TOB completed; squeeze-out; delisted Jan 2025 (TBV)</t>
  </si>
  <si>
    <t xml:space="preserve">2025/01 (TBV)</t>
  </si>
  <si>
    <t xml:space="preserve">Medium — verify dates</t>
  </si>
  <si>
    <t xml:space="preserve">Pair with JSR as SAMR-risk case studies</t>
  </si>
  <si>
    <t xml:space="preserve">JP-011</t>
  </si>
  <si>
    <t xml:space="preserve">Cross-border outbound (contested politically)</t>
  </si>
  <si>
    <t xml:space="preserve">United States Steel Corporation</t>
  </si>
  <si>
    <t xml:space="preserve">X US / NYSE</t>
  </si>
  <si>
    <t xml:space="preserve">Steel</t>
  </si>
  <si>
    <t xml:space="preserve">Nippon Steel Corporation</t>
  </si>
  <si>
    <t xml:space="preserve">TSE Prime (5401)</t>
  </si>
  <si>
    <t xml:space="preserve">≈¥2.1tn equiv.</t>
  </si>
  <si>
    <t xml:space="preserve">Cash merger US$55.00/sh (equity ~$14.1bn; EV ~$14.9bn)</t>
  </si>
  <si>
    <t xml:space="preserve">US$55.00</t>
  </si>
  <si>
    <t xml:space="preserve">US$55.00 (topped Cleveland-Cliffs cash/stock bid in auction)</t>
  </si>
  <si>
    <t xml:space="preserve">US$39.33 (2023/12/15 close)</t>
  </si>
  <si>
    <t xml:space="preserve">≈+40%</t>
  </si>
  <si>
    <t xml:space="preserve">For (US Steel board)</t>
  </si>
  <si>
    <t xml:space="preserve">No (full auction)</t>
  </si>
  <si>
    <t xml:space="preserve">Yes — Cleveland-Cliffs, others in auction; later political counter-pressure</t>
  </si>
  <si>
    <t xml:space="preserve">CFIUS (two reviews)</t>
  </si>
  <si>
    <t xml:space="preserve">DOJ (HSR antitrust)</t>
  </si>
  <si>
    <t xml:space="preserve">White House (Presidential orders); USW labor dimension</t>
  </si>
  <si>
    <t xml:space="preserve">Defense Production Act s.721 (CFIUS); Biden prohibition order 3 Jan 2025; litigation (NSC/USS v. CFIUS); June 2025 Trump-era National Security Agreement incl. US 'golden share', investment commitments</t>
  </si>
  <si>
    <t xml:space="preserve">Election-year politicization of an allied-country acquisition; USW opposition; golden-share governance precedent; 18-month closing odyssey</t>
  </si>
  <si>
    <t xml:space="preserve">Merger-arb community heavily involved; Ancora ran a parallel campaign at US Steel (board slate, alternative plan) in early 2025</t>
  </si>
  <si>
    <t xml:space="preserve">Closed 18 Jun 2025 under NSA with golden share; US Steel delisted</t>
  </si>
  <si>
    <t xml:space="preserve">Merger (DGCL)</t>
  </si>
  <si>
    <t xml:space="preserve">2025/06 (NYSE)</t>
  </si>
  <si>
    <t xml:space="preserve">Defining cross-border security-review saga of the period</t>
  </si>
  <si>
    <t xml:space="preserve">JP-012</t>
  </si>
  <si>
    <t xml:space="preserve">Activist campaign</t>
  </si>
  <si>
    <t xml:space="preserve">Concluded (demands substantially met)</t>
  </si>
  <si>
    <t xml:space="preserve">Dai Nippon Printing (DNP)</t>
  </si>
  <si>
    <t xml:space="preserve">7912 JP / TSE Prime</t>
  </si>
  <si>
    <t xml:space="preserve">Printing / electronics materials</t>
  </si>
  <si>
    <t xml:space="preserve">Elliott Management (campaign, not acquisition)</t>
  </si>
  <si>
    <t xml:space="preserve">n/a (fund)</t>
  </si>
  <si>
    <t xml:space="preserve">Stake est. $300mn+ (TBV)</t>
  </si>
  <si>
    <t xml:space="preserve">Public engagement; capital-return and P/B demands</t>
  </si>
  <si>
    <t xml:space="preserve">n/a (company responded with plan)</t>
  </si>
  <si>
    <t xml:space="preserve">Elliott stake reported ~3–5% (TBV)</t>
  </si>
  <si>
    <t xml:space="preserve">TSE P/B &lt;1 'name-and-shame' regime as backdrop; large shareholding reporting (5% rule) dynamics</t>
  </si>
  <si>
    <t xml:space="preserve">Cross-shareholding unwind; ¥300bn buyback announced Feb–Mar 2023; ROE targets</t>
  </si>
  <si>
    <t xml:space="preserve">Elliott (lead)</t>
  </si>
  <si>
    <t xml:space="preserve">DNP announced record buyback + capital policy overhaul; Elliott monetized</t>
  </si>
  <si>
    <t xml:space="preserve">Early proof TSE reform + activism = rapid capital return</t>
  </si>
  <si>
    <t xml:space="preserve">JP-013</t>
  </si>
  <si>
    <t xml:space="preserve">Activist campaign (proxy fight)</t>
  </si>
  <si>
    <t xml:space="preserve">Concluded (activist lost vote; strategy shifted co. anyway)</t>
  </si>
  <si>
    <t xml:space="preserve">Seven &amp; i Holdings</t>
  </si>
  <si>
    <t xml:space="preserve">3382 JP / TSE Prime</t>
  </si>
  <si>
    <t xml:space="preserve">Retail / convenience stores</t>
  </si>
  <si>
    <t xml:space="preserve">ValueAct Capital (campaign)</t>
  </si>
  <si>
    <t xml:space="preserve">Stake ~$? (≈4.4%; TBV)</t>
  </si>
  <si>
    <t xml:space="preserve">Proxy contest: 4 director nominees; demanded CVS spin-off focus</t>
  </si>
  <si>
    <t xml:space="preserve">Opposed slate</t>
  </si>
  <si>
    <t xml:space="preserve">Yes — multi-year engagement since 2021</t>
  </si>
  <si>
    <t xml:space="preserve">≈4.4% (TBV)</t>
  </si>
  <si>
    <t xml:space="preserve">Companies Act shareholder proposal/proxy rules</t>
  </si>
  <si>
    <t xml:space="preserve">Conglomerate discount; Ito-Yokado drag; CEO Isaka accountability (survived 2023 vote, ousted later)</t>
  </si>
  <si>
    <t xml:space="preserve">ValueAct (lead)</t>
  </si>
  <si>
    <t xml:space="preserve">Nominees defeated May 2023 AGM (~24–32% support); catalyzed later breakup path (Sogo&amp;Seibu sale, York carve-out, ACT episode)</t>
  </si>
  <si>
    <t xml:space="preserve">Read with ACT bid &amp; York/Bain rows</t>
  </si>
  <si>
    <t xml:space="preserve">JP-014</t>
  </si>
  <si>
    <t xml:space="preserve">Activist campaign (control contest defense)</t>
  </si>
  <si>
    <t xml:space="preserve">Concluded (block sold to white squire)</t>
  </si>
  <si>
    <t xml:space="preserve">Cosmo Energy Holdings</t>
  </si>
  <si>
    <t xml:space="preserve">5021 JP / TSE Prime</t>
  </si>
  <si>
    <t xml:space="preserve">Oil refining / energy</t>
  </si>
  <si>
    <t xml:space="preserve">Murakami group (City Index Eleventh etc.) — accumulation to ~20%</t>
  </si>
  <si>
    <t xml:space="preserve">Stake ~$600mn (TBV)</t>
  </si>
  <si>
    <t xml:space="preserve">Stake accumulation + AGM confrontation; company deployed MoM-conditioned poison pill (June 2023 AGM approval excluding Murakami votes)</t>
  </si>
  <si>
    <t xml:space="preserve">Opposed activist</t>
  </si>
  <si>
    <t xml:space="preserve">Yes (pill oversight)</t>
  </si>
  <si>
    <t xml:space="preserve">Yes (Murakami serial energy-sector plays)</t>
  </si>
  <si>
    <t xml:space="preserve">≈20%</t>
  </si>
  <si>
    <t xml:space="preserve">'MoM' defensive pill validated by 2022 Tokyo courts precedents (Mitsubishi paper?) — key governance controversy of 2023</t>
  </si>
  <si>
    <t xml:space="preserve">Legitimacy of majority-of-minority pill approvals; greenmail optics when Murakami exited via block sale</t>
  </si>
  <si>
    <t xml:space="preserve">Murakami group (lead)</t>
  </si>
  <si>
    <t xml:space="preserve">Dec 2023: Murakami block sold to Iwatani Corporation (strategic white squire); pill retired</t>
  </si>
  <si>
    <t xml:space="preserve">Defense playbook case study</t>
  </si>
  <si>
    <t xml:space="preserve">JP-015</t>
  </si>
  <si>
    <t xml:space="preserve">Unsolicited proposal + proxy fights (family office)</t>
  </si>
  <si>
    <t xml:space="preserve">Failed / lapsed (no TOB launched)</t>
  </si>
  <si>
    <t xml:space="preserve">Toyo Construction Co., Ltd.</t>
  </si>
  <si>
    <t xml:space="preserve">1890 JP / TSE Prime</t>
  </si>
  <si>
    <t xml:space="preserve">Marine civil engineering</t>
  </si>
  <si>
    <t xml:space="preserve">YFO (Yamauchi-No.10 Family Office, Nintendo founding family)</t>
  </si>
  <si>
    <t xml:space="preserve">Unlisted (family office)</t>
  </si>
  <si>
    <t xml:space="preserve">¥1,000/sh take-private proposal (~¥112bn) after blocking Infroneer TOB; repeated proxy campaigns 2022–2024</t>
  </si>
  <si>
    <t xml:space="preserve">¥1,000 (proposed)</t>
  </si>
  <si>
    <t xml:space="preserve">¥1,000</t>
  </si>
  <si>
    <t xml:space="preserve">Opposed (engagement protracted)</t>
  </si>
  <si>
    <t xml:space="preserve">Preceded by Infroneer agreed TOB (2022) which YFO's ~27% stake defeated</t>
  </si>
  <si>
    <t xml:space="preserve">Yes (multiple AGM cycles)</t>
  </si>
  <si>
    <t xml:space="preserve">≈27%</t>
  </si>
  <si>
    <t xml:space="preserve">METI guidelines 'bona fide offer' debate — board's duty to engage vs financing credibility of family office</t>
  </si>
  <si>
    <t xml:space="preserve">Whether YFO proposal was fully financed/'bona fide'; board entrenchment claims; dividend hikes as defense</t>
  </si>
  <si>
    <t xml:space="preserve">YFO as quasi-activist; other funds on register</t>
  </si>
  <si>
    <t xml:space="preserve">YFO never launched TOB; campaign wound down 2024 (TBV specifics); remains large holder</t>
  </si>
  <si>
    <t xml:space="preserve">Medium — verify end-state</t>
  </si>
  <si>
    <t xml:space="preserve">Instructive failed 'consent-seeking' saga</t>
  </si>
  <si>
    <t xml:space="preserve">JP-016</t>
  </si>
  <si>
    <t xml:space="preserve">Cross-border outbound</t>
  </si>
  <si>
    <t xml:space="preserve">MDC Holdings, Inc.</t>
  </si>
  <si>
    <t xml:space="preserve">MDC US / NYSE</t>
  </si>
  <si>
    <t xml:space="preserve">US homebuilding</t>
  </si>
  <si>
    <t xml:space="preserve">Sekisui House, Ltd.</t>
  </si>
  <si>
    <t xml:space="preserve">TSE Prime (1928)</t>
  </si>
  <si>
    <t xml:space="preserve">≈¥730bn equiv.</t>
  </si>
  <si>
    <t xml:space="preserve">Cash merger US$63.00/sh</t>
  </si>
  <si>
    <t xml:space="preserve">US$63.00</t>
  </si>
  <si>
    <t xml:space="preserve">≈+19% to close / ~+41% to 90-day VWAP (TBV)</t>
  </si>
  <si>
    <t xml:space="preserve">DOJ/FTC (HSR)</t>
  </si>
  <si>
    <t xml:space="preserve">US antitrust only; no CFIUS issue (allied, non-sensitive)</t>
  </si>
  <si>
    <t xml:space="preserve">Contrast case to Nippon Steel/USS: friendly, apolitical, closed in 3 months</t>
  </si>
  <si>
    <t xml:space="preserve">Merger closed Apr 2024</t>
  </si>
  <si>
    <t xml:space="preserve">DGCL merger</t>
  </si>
  <si>
    <t xml:space="preserve">2024/04 (NYSE)</t>
  </si>
  <si>
    <t xml:space="preserve">Benchmark for 'clean' Japan-to-US outbound</t>
  </si>
  <si>
    <t xml:space="preserve">JP-017</t>
  </si>
  <si>
    <t xml:space="preserve">Strategic TOB (JV take-private of listed sub)</t>
  </si>
  <si>
    <t xml:space="preserve">Lawson, Inc.</t>
  </si>
  <si>
    <t xml:space="preserve">2651 JP / TSE Prime</t>
  </si>
  <si>
    <t xml:space="preserve">Convenience stores</t>
  </si>
  <si>
    <t xml:space="preserve">KDDI Corporation (TOB) → 50/50 JV with Mitsubishi Corporation</t>
  </si>
  <si>
    <t xml:space="preserve">TSE Prime (9433; MC 8058)</t>
  </si>
  <si>
    <t xml:space="preserve">KDDI TOB ¥10,360/sh for shares other than MC's ~50%; post-deal 50/50 telco-trading house JV</t>
  </si>
  <si>
    <t xml:space="preserve">¥10,360</t>
  </si>
  <si>
    <t xml:space="preserve">≈¥8,900 (TBV)</t>
  </si>
  <si>
    <t xml:space="preserve">≈+16% (criticized as thin; TBV)</t>
  </si>
  <si>
    <t xml:space="preserve">Mitsubishi Corp ~50% (retained)</t>
  </si>
  <si>
    <t xml:space="preserve">FIEA TOB; parent-subsidiary fairness (MC as continuing 50% holder) — MoM debate</t>
  </si>
  <si>
    <t xml:space="preserve">Thin premium vs strategic uniqueness; telco-retail convergence thesis; minority holdout arb</t>
  </si>
  <si>
    <t xml:space="preserve">Some funds vocal on price (TBV)</t>
  </si>
  <si>
    <t xml:space="preserve">TOB + squeeze-out; delisted 24 Jul 2024</t>
  </si>
  <si>
    <t xml:space="preserve">2024/07/24</t>
  </si>
  <si>
    <t xml:space="preserve">High confidence (delist date TBV)</t>
  </si>
  <si>
    <t xml:space="preserve">JP-018</t>
  </si>
  <si>
    <t xml:space="preserve">Cross-border outbound (scheme)</t>
  </si>
  <si>
    <t xml:space="preserve">Altium Limited</t>
  </si>
  <si>
    <t xml:space="preserve">ALU AU / ASX</t>
  </si>
  <si>
    <t xml:space="preserve">Electronics design software (EDA)</t>
  </si>
  <si>
    <t xml:space="preserve">Renesas Electronics Corporation</t>
  </si>
  <si>
    <t xml:space="preserve">TSE Prime (6723)</t>
  </si>
  <si>
    <t xml:space="preserve">A$9.1bn (≈¥880bn)</t>
  </si>
  <si>
    <t xml:space="preserve">Australian scheme of arrangement, A$68.50/sh cash</t>
  </si>
  <si>
    <t xml:space="preserve">A$68.50</t>
  </si>
  <si>
    <t xml:space="preserve">≈+34% (TBV)</t>
  </si>
  <si>
    <t xml:space="preserve">FIRB (Australia)</t>
  </si>
  <si>
    <t xml:space="preserve">Other antitrust (US/EU) (TBV)</t>
  </si>
  <si>
    <t xml:space="preserve">Australian scheme + FIRB approval; court sanction</t>
  </si>
  <si>
    <t xml:space="preserve">Software pivot by chipmaker; full-cash funding while Renesas still deleveraging</t>
  </si>
  <si>
    <t xml:space="preserve">Scheme implemented 1 Aug 2024</t>
  </si>
  <si>
    <t xml:space="preserve">Scheme</t>
  </si>
  <si>
    <t xml:space="preserve">2024/08 (ASX)</t>
  </si>
  <si>
    <t xml:space="preserve">JP-019</t>
  </si>
  <si>
    <t xml:space="preserve">MBO (founder + PE)</t>
  </si>
  <si>
    <t xml:space="preserve">Snow Peak, Inc.</t>
  </si>
  <si>
    <t xml:space="preserve">7816 JP / TSE Prime</t>
  </si>
  <si>
    <t xml:space="preserve">Outdoor/camping consumer</t>
  </si>
  <si>
    <t xml:space="preserve">Bain Capital + Yamai founding family</t>
  </si>
  <si>
    <t xml:space="preserve">MBO via TOB ¥1,250/sh + squeeze-out</t>
  </si>
  <si>
    <t xml:space="preserve">¥1,250</t>
  </si>
  <si>
    <t xml:space="preserve">≈+48% (TBV)</t>
  </si>
  <si>
    <t xml:space="preserve">Founding family rollover ~30% (TBV)</t>
  </si>
  <si>
    <t xml:space="preserve">FIEA TOB; conflicted MBO framework</t>
  </si>
  <si>
    <t xml:space="preserve">Post-COVID camping demand collapse; take-private to restructure away from market glare</t>
  </si>
  <si>
    <t xml:space="preserve">TOB + squeeze-out; delisted 2024 (TBV)</t>
  </si>
  <si>
    <t xml:space="preserve">Medium — verify size/dates</t>
  </si>
  <si>
    <t xml:space="preserve">JP-020</t>
  </si>
  <si>
    <t xml:space="preserve">MBO vs unsolicited strategic counterbid</t>
  </si>
  <si>
    <t xml:space="preserve">Concluded (MBO side won)</t>
  </si>
  <si>
    <t xml:space="preserve">Roland DG Corporation</t>
  </si>
  <si>
    <t xml:space="preserve">6789 JP / TSE Prime</t>
  </si>
  <si>
    <t xml:space="preserve">Digital printing equipment</t>
  </si>
  <si>
    <t xml:space="preserve">Taiyo Pacific Partners (MBO vehicle) — winner; Brother Industries — unsolicited counterbidder (withdrew)</t>
  </si>
  <si>
    <t xml:space="preserve">Taiyo unlisted; Brother 6448 JP</t>
  </si>
  <si>
    <t xml:space="preserve">Taiyo MBO TOB ¥5,035 → Brother counter ¥5,200 (no board consent) → Taiyo bump ¥5,370; Brother declined to raise</t>
  </si>
  <si>
    <t xml:space="preserve">¥5,370 (Taiyo final)</t>
  </si>
  <si>
    <t xml:space="preserve">¥5,035; 1 bump; Brother interloper ¥5,200</t>
  </si>
  <si>
    <t xml:space="preserve">For MBO; Opposed Brother (synergy/dis-synergy reasoning questioned)</t>
  </si>
  <si>
    <t xml:space="preserve">Yes — first unsolicited counterbid against a live MBO under METI guidelines</t>
  </si>
  <si>
    <t xml:space="preserve">Management rollover</t>
  </si>
  <si>
    <t xml:space="preserve">METI guidelines: how boards must treat competing 'bona fide' offers vs incumbent MBO; TOB price-matching mechanics</t>
  </si>
  <si>
    <t xml:space="preserve">Board's rejection of higher-headline strategic bid on qualitative grounds; precedent for interloper economics</t>
  </si>
  <si>
    <t xml:space="preserve">Event funds in spread</t>
  </si>
  <si>
    <t xml:space="preserve">Brother withdrew May 2024; Taiyo TOB succeeded; squeeze-out</t>
  </si>
  <si>
    <t xml:space="preserve">Key precedent with C&amp;F and Fuji Soft</t>
  </si>
  <si>
    <t xml:space="preserve">JP-021</t>
  </si>
  <si>
    <t xml:space="preserve">Hostile TOB defeated by white knight</t>
  </si>
  <si>
    <t xml:space="preserve">Concluded (white knight won; hostile failed)</t>
  </si>
  <si>
    <t xml:space="preserve">C&amp;F Logistics Holdings</t>
  </si>
  <si>
    <t xml:space="preserve">9099 JP / TSE Prime</t>
  </si>
  <si>
    <t xml:space="preserve">Cold-chain logistics</t>
  </si>
  <si>
    <t xml:space="preserve">SG Holdings (white knight, winner); AZ-COM Maruwa Holdings (unsolicited bidder, withdrew)</t>
  </si>
  <si>
    <t xml:space="preserve">SG 9143 JP; AZ-COM 9090 JP</t>
  </si>
  <si>
    <t xml:space="preserve">AZ-COM consentless TOB intent ¥3,000/sh → SG counter TOB ¥5,740/sh (+91% over hostile bid)</t>
  </si>
  <si>
    <t xml:space="preserve">¥5,740 (SG)</t>
  </si>
  <si>
    <t xml:space="preserve">AZ-COM ¥3,000 → ¥3,000 (did not match); SG entered at ¥5,740</t>
  </si>
  <si>
    <t xml:space="preserve">≈¥2,300 (TBV)</t>
  </si>
  <si>
    <t xml:space="preserve">≈+150% (SG final vs unaffected; TBV)</t>
  </si>
  <si>
    <t xml:space="preserve">Opposed AZ-COM; For SG</t>
  </si>
  <si>
    <t xml:space="preserve">Yes (defining white-knight auction of 2024)</t>
  </si>
  <si>
    <t xml:space="preserve">METI guidelines bona fide offer assessment; TOB withdrawal rules when outbid</t>
  </si>
  <si>
    <t xml:space="preserve">Massive value uplift from contest (unaffected ¥2,3xx → ¥5,740) — exhibit A that hostile pressure surfaces value</t>
  </si>
  <si>
    <t xml:space="preserve">Event funds</t>
  </si>
  <si>
    <t xml:space="preserve">AZ-COM withdrew; SG TOB completed Aug 2024; squeeze-out</t>
  </si>
  <si>
    <t xml:space="preserve">Medium — verify dates/prices</t>
  </si>
  <si>
    <t xml:space="preserve">JP-022</t>
  </si>
  <si>
    <t xml:space="preserve">PE buyout of listed co. (sponsor exit by trading house)</t>
  </si>
  <si>
    <t xml:space="preserve">KFC Holdings Japan (Kentucky Fried Chicken Japan)</t>
  </si>
  <si>
    <t xml:space="preserve">9873 JP / TSE Standard</t>
  </si>
  <si>
    <t xml:space="preserve">Restaurants / franchising</t>
  </si>
  <si>
    <t xml:space="preserve">Carlyle Group</t>
  </si>
  <si>
    <t xml:space="preserve">CG US / Nasdaq</t>
  </si>
  <si>
    <t xml:space="preserve">TOB ¥6,500/sh; Mitsubishi Corp (35%) agreed to tender; brand license with Yum!</t>
  </si>
  <si>
    <t xml:space="preserve">¥6,500</t>
  </si>
  <si>
    <t xml:space="preserve">TBV (~+30%; TBV)</t>
  </si>
  <si>
    <t xml:space="preserve">Auction preceded (TBV)</t>
  </si>
  <si>
    <t xml:space="preserve">MC 35% irrevocable</t>
  </si>
  <si>
    <t xml:space="preserve">FIEA TOB; franchise consent (Yum! Brands)</t>
  </si>
  <si>
    <t xml:space="preserve">Foreign-PE consumer take-private wave; franchisor consent as gating item</t>
  </si>
  <si>
    <t xml:space="preserve">JP-023</t>
  </si>
  <si>
    <t xml:space="preserve">Strategic TOB (affiliate consolidation) with price bump</t>
  </si>
  <si>
    <t xml:space="preserve">FANCL Corporation</t>
  </si>
  <si>
    <t xml:space="preserve">4921 JP / TSE Prime</t>
  </si>
  <si>
    <t xml:space="preserve">Cosmetics / supplements</t>
  </si>
  <si>
    <t xml:space="preserve">Kirin Holdings</t>
  </si>
  <si>
    <t xml:space="preserve">TSE Prime (2503)</t>
  </si>
  <si>
    <t xml:space="preserve">TOB for the ~67% not held (initial ¥2,690 → final ¥2,800 after investor pushback) + squeeze-out</t>
  </si>
  <si>
    <t xml:space="preserve">¥2,690; 1 bump (+4.1%)</t>
  </si>
  <si>
    <t xml:space="preserve">TBV (~+45% final; TBV)</t>
  </si>
  <si>
    <t xml:space="preserve">Yes — Kirin built 33% stake 2019, full buyout 2024</t>
  </si>
  <si>
    <t xml:space="preserve">≈33%</t>
  </si>
  <si>
    <t xml:space="preserve">FIEA TOB; partial-owner conflict fairness; bump forced by minority holdout (MoM math)</t>
  </si>
  <si>
    <t xml:space="preserve">Hedge funds (incl. MY.Alpha; TBV) argued lowball; tender momentum stalled until bump — early example of 'bump-seeking' arb strategy now standard</t>
  </si>
  <si>
    <t xml:space="preserve">MY.Alpha and event funds (TBV names)</t>
  </si>
  <si>
    <t xml:space="preserve">Bumped TOB succeeded Sep 2024; squeeze-out</t>
  </si>
  <si>
    <t xml:space="preserve">JP-024</t>
  </si>
  <si>
    <t xml:space="preserve">Parent carve-out TOB (sponsor-backed strategic)</t>
  </si>
  <si>
    <t xml:space="preserve">Alps Logistics Co., Ltd.</t>
  </si>
  <si>
    <t xml:space="preserve">9055 JP / TSE Standard</t>
  </si>
  <si>
    <t xml:space="preserve">Electronics logistics (3PL)</t>
  </si>
  <si>
    <t xml:space="preserve">Logisteed (KKR portfolio company; ex-Hitachi Transport System)</t>
  </si>
  <si>
    <t xml:space="preserve">Unlisted (KKR)</t>
  </si>
  <si>
    <t xml:space="preserve">TOB ¥5,774/sh for minorities + purchase of Alps Alpine's ~48%; partial reinvestment by parent</t>
  </si>
  <si>
    <t xml:space="preserve">¥5,774</t>
  </si>
  <si>
    <t xml:space="preserve">≈+90% (one of the largest premia of 2024; TBV)</t>
  </si>
  <si>
    <t xml:space="preserve">Auction (TBV)</t>
  </si>
  <si>
    <t xml:space="preserve">Alps Alpine ~48% seller</t>
  </si>
  <si>
    <t xml:space="preserve">China SAMR (TBV)</t>
  </si>
  <si>
    <t xml:space="preserve">FIEA TOB; parent-sub conflict framework</t>
  </si>
  <si>
    <t xml:space="preserve">Sponsor-backed strategic paying near-double market for synergies — data point against 'lowball Japan' narrative</t>
  </si>
  <si>
    <t xml:space="preserve">TOB + squeeze-out</t>
  </si>
  <si>
    <t xml:space="preserve">JP-025</t>
  </si>
  <si>
    <t xml:space="preserve">Parent carve-out / PE TOB</t>
  </si>
  <si>
    <t xml:space="preserve">Infocom Corporation</t>
  </si>
  <si>
    <t xml:space="preserve">4348 JP / TSE Prime</t>
  </si>
  <si>
    <t xml:space="preserve">IT / digital comics (MechaComic)</t>
  </si>
  <si>
    <t xml:space="preserve">Blackstone</t>
  </si>
  <si>
    <t xml:space="preserve">BX US / NYSE</t>
  </si>
  <si>
    <t xml:space="preserve">Purchase of Teijin's ~55% + TOB for minorities (total EV ≈¥280bn)</t>
  </si>
  <si>
    <t xml:space="preserve">¥6,060 (TBV)</t>
  </si>
  <si>
    <t xml:space="preserve">Auction (multiple sponsors)</t>
  </si>
  <si>
    <t xml:space="preserve">Teijin ~55% seller</t>
  </si>
  <si>
    <t xml:space="preserve">FIEA TOB; carve-out mechanics</t>
  </si>
  <si>
    <t xml:space="preserve">Digital-content asset scarcity; Blackstone's largest Japan PE deal to date at the time</t>
  </si>
  <si>
    <t xml:space="preserve">TOB + squeeze-out; delisted (TBV)</t>
  </si>
  <si>
    <t xml:space="preserve">JP-026</t>
  </si>
  <si>
    <t xml:space="preserve">PE-vs-PE hostile bidding war</t>
  </si>
  <si>
    <t xml:space="preserve">Concluded (KKR won)</t>
  </si>
  <si>
    <t xml:space="preserve">Fuji Soft Incorporated</t>
  </si>
  <si>
    <t xml:space="preserve">9749 JP / TSE Prime</t>
  </si>
  <si>
    <t xml:space="preserve">IT services / software</t>
  </si>
  <si>
    <t xml:space="preserve">KKR (winner); Bain Capital (counterbidder, went hostile, withdrew)</t>
  </si>
  <si>
    <t xml:space="preserve">KKR US / NYSE; Bain unlisted</t>
  </si>
  <si>
    <t xml:space="preserve">KKR two-stage TOB (1st ¥8,800 backed by 3D &amp; Farallon irrevocables ~33%; Bain counter ¥9,450 w/ founder support; KKR 2nd-stage ¥9,451 'one-yen' top)</t>
  </si>
  <si>
    <t xml:space="preserve">¥9,451 (KKR)</t>
  </si>
  <si>
    <t xml:space="preserve">KKR ¥8,800 → ¥9,451; Bain ¥9,300 → ¥9,450 (hostile, withdrew Feb 2025)</t>
  </si>
  <si>
    <t xml:space="preserve">TBV (&gt;+50% vs pre-3D-pressure levels; TBV)</t>
  </si>
  <si>
    <t xml:space="preserve">For KKR throughout; declined to support Bain despite higher interim price</t>
  </si>
  <si>
    <t xml:space="preserve">Yes (heavily scrutinized)</t>
  </si>
  <si>
    <t xml:space="preserve">Yes — landmark sponsor-vs-sponsor contest; Bain proceeded without board consent</t>
  </si>
  <si>
    <t xml:space="preserve">3D Investment (~21%) + Farallon (~9%) irrevocables to KKR — decisive</t>
  </si>
  <si>
    <t xml:space="preserve">Two-stage TOB structure criticized (coercion debate); METI guidelines on competing offers; irrevocables as bid lock-ups</t>
  </si>
  <si>
    <t xml:space="preserve">Whether board could favor lower-headline KKR bid; activists selling control via irrevocables; founder family split (Nozawa family backed Bain)</t>
  </si>
  <si>
    <t xml:space="preserve">3D Investment Partners (instigating activist), Farallon — both pivotal</t>
  </si>
  <si>
    <t xml:space="preserve">Bain withdrew; KKR completed squeeze-out; delisted 2025 (TBV date)</t>
  </si>
  <si>
    <t xml:space="preserve">2025 (TBV)</t>
  </si>
  <si>
    <t xml:space="preserve">High confidence (dates TBV)</t>
  </si>
  <si>
    <t xml:space="preserve">THE case study for interloper/lock-up dynamics in Japan</t>
  </si>
  <si>
    <t xml:space="preserve">JP-027</t>
  </si>
  <si>
    <t xml:space="preserve">Cross-border unsolicited proposal (failed) + failed MBO defense</t>
  </si>
  <si>
    <t xml:space="preserve">Failed (proposal withdrawn)</t>
  </si>
  <si>
    <t xml:space="preserve">Alimentation Couche-Tard Inc. (ACT)</t>
  </si>
  <si>
    <t xml:space="preserve">ATD CN / TSX</t>
  </si>
  <si>
    <t xml:space="preserve">≈¥7tn</t>
  </si>
  <si>
    <t xml:space="preserve">Non-binding all-cash proposal (initial ≈US$14.86/ADS ≈¥2,200/sh; revised ≈¥2,700/sh, ~US$47bn) — never launched TOB</t>
  </si>
  <si>
    <t xml:space="preserve">≈¥2,700 (indicative)</t>
  </si>
  <si>
    <t xml:space="preserve">≈¥2,200 → ≈¥2,700 (1 revision)</t>
  </si>
  <si>
    <t xml:space="preserve">≈¥1,760 (pre-8/19/24 leak; TBV)</t>
  </si>
  <si>
    <t xml:space="preserve">≈+53% at revised terms (TBV)</t>
  </si>
  <si>
    <t xml:space="preserve">Effectively opposed (special committee: undervaluation + US antitrust risk); refused DD for months</t>
  </si>
  <si>
    <t xml:space="preserve">Yes (independent special committee led process)</t>
  </si>
  <si>
    <t xml:space="preserve">Yes — Ito family MBO counter-proposal (~¥9tn) collapsed Feb 2025 when financing failed; standalone plan + York carve-out as defense</t>
  </si>
  <si>
    <t xml:space="preserve">METI (FEFTA 'core' designation of Seven &amp; i, Sep 2024)</t>
  </si>
  <si>
    <t xml:space="preserve">FTC/DOJ (US antitrust — c-store overlap; divestiture package explored w/ ACT)</t>
  </si>
  <si>
    <t xml:space="preserve">FEFTA core classification debate (convenience stores as critical infrastructure?); US HSR; METI guidelines on bona fide offers</t>
  </si>
  <si>
    <t xml:space="preserve">National-champion protectionism vs shareholder value; ACT alleged stonewalling; management change (Isaka→Dacus); ¥2tn buyback + York sale as defense; Artisan Partners public letters</t>
  </si>
  <si>
    <t xml:space="preserve">ValueAct (long-running), Artisan Partners (vocal letters); arb losses on withdrawal</t>
  </si>
  <si>
    <t xml:space="preserve">ACT withdrew 16 Jul 2025 citing lack of engagement; stock derated; standalone restructuring continued</t>
  </si>
  <si>
    <t xml:space="preserve">Largest-ever attempted foreign takeover of a Japanese company</t>
  </si>
  <si>
    <t xml:space="preserve">JP-028</t>
  </si>
  <si>
    <t xml:space="preserve">Parent-subsidiary minority buy-in</t>
  </si>
  <si>
    <t xml:space="preserve">NEC Networks &amp; System Integration (NESIC)</t>
  </si>
  <si>
    <t xml:space="preserve">1973 JP / TSE Prime</t>
  </si>
  <si>
    <t xml:space="preserve">Network engineering / SI</t>
  </si>
  <si>
    <t xml:space="preserve">NEC Corporation</t>
  </si>
  <si>
    <t xml:space="preserve">TSE Prime (6701)</t>
  </si>
  <si>
    <t xml:space="preserve">TOB ¥3,250/sh for ~48% minorities + squeeze-out</t>
  </si>
  <si>
    <t xml:space="preserve">¥3,250</t>
  </si>
  <si>
    <t xml:space="preserve">TBV (bump? TBV)</t>
  </si>
  <si>
    <t xml:space="preserve">NEC ~52%</t>
  </si>
  <si>
    <t xml:space="preserve">Parent-sub TOB fairness (METI/TSE guidance on controlling-shareholder buyouts)</t>
  </si>
  <si>
    <t xml:space="preserve">Listed-subsidiary discount unwind wave; minority price adequacy</t>
  </si>
  <si>
    <t xml:space="preserve">TOB + squeeze-out; delisted 2025 (TBV)</t>
  </si>
  <si>
    <t xml:space="preserve">One of many parent buy-ins in the sample — see also SCSK, Sumitomo Densetsu, NTT Data</t>
  </si>
  <si>
    <t xml:space="preserve">JP-029</t>
  </si>
  <si>
    <t xml:space="preserve">PE take-private (dual-price structure controversy)</t>
  </si>
  <si>
    <t xml:space="preserve">T-Gaia Corporation</t>
  </si>
  <si>
    <t xml:space="preserve">3738 JP / TSE Prime</t>
  </si>
  <si>
    <t xml:space="preserve">Mobile phone distribution</t>
  </si>
  <si>
    <t xml:space="preserve">Bain Capital</t>
  </si>
  <si>
    <t xml:space="preserve">TOB for minorities at ¥2,670 while parent Sumitomo Corp sold its ~40% block at a LOWER per-share price (differential pricing)</t>
  </si>
  <si>
    <t xml:space="preserve">¥2,670 (minorities)</t>
  </si>
  <si>
    <t xml:space="preserve">Sumitomo Corp ~40% (seller at lower price)</t>
  </si>
  <si>
    <t xml:space="preserve">Equal-treatment principle under FIEA TOB rules stress-tested by two-tier pricing; FSA/TSE commentary; shaped 2026 TOB reform discussion</t>
  </si>
  <si>
    <t xml:space="preserve">Whether differential pricing (parent lower, minorities higher) is pro-minority or a rule-arbitrage; ISS/proxy criticism (TBV)</t>
  </si>
  <si>
    <t xml:space="preserve">Completed despite controversy; delisted 2025 (TBV)</t>
  </si>
  <si>
    <t xml:space="preserve">Cited in FIEA TOB-reform debates (rules effective 2026/05/01)</t>
  </si>
  <si>
    <t xml:space="preserve">JP-030</t>
  </si>
  <si>
    <t xml:space="preserve">Hostile TOB (withdrawn)</t>
  </si>
  <si>
    <t xml:space="preserve">Failed (bidder withdrew)</t>
  </si>
  <si>
    <t xml:space="preserve">Makino Milling Machine Co., Ltd.</t>
  </si>
  <si>
    <t xml:space="preserve">6135 JP / TSE Prime</t>
  </si>
  <si>
    <t xml:space="preserve">Consentless TOB intent at ¥11,000/sh announced 27 Dec 2024 with April 2025 launch date (ultimatum structure); launched Apr 2025 then withdrew</t>
  </si>
  <si>
    <t xml:space="preserve">¥11,000</t>
  </si>
  <si>
    <t xml:space="preserve">≈¥7,750 (TBV)</t>
  </si>
  <si>
    <t xml:space="preserve">≈+42% (TBV)</t>
  </si>
  <si>
    <t xml:space="preserve">Opposed (asked for delay; adopted countermeasures; solicited white knights)</t>
  </si>
  <si>
    <t xml:space="preserve">Yes — Makino ran market-check; MBK Partners emerged (see separate row)</t>
  </si>
  <si>
    <t xml:space="preserve">Yes — Nidec's 3rd machine-tool pursuit (OKK, Takisawa, Makino)</t>
  </si>
  <si>
    <t xml:space="preserve">METI guidelines stress test: announcing a TOB months ahead ('fait accompli'); poison-pill countermeasure legitimacy; TOB withdrawal rules</t>
  </si>
  <si>
    <t xml:space="preserve">Nidec's aggressive tactics backfired reputationally; board's right to seek alternatives affirmed; premium ultimately topped by white knight</t>
  </si>
  <si>
    <t xml:space="preserve">Event funds accumulated; TBV names</t>
  </si>
  <si>
    <t xml:space="preserve">Nidec withdrew May 2025 after countermeasures; target went to MBK at higher price</t>
  </si>
  <si>
    <t xml:space="preserve">Medium — verify withdrawal date</t>
  </si>
  <si>
    <t xml:space="preserve">Read with MBK/Makino row</t>
  </si>
  <si>
    <t xml:space="preserve">JP-031</t>
  </si>
  <si>
    <t xml:space="preserve">White-knight take-private (PE)</t>
  </si>
  <si>
    <t xml:space="preserve">Concluded (verify final squeeze-out timing)</t>
  </si>
  <si>
    <t xml:space="preserve">MBK Partners</t>
  </si>
  <si>
    <t xml:space="preserve">Agreed take-private TOB (price above Nidec's ¥11,000; final TBV) following market-check</t>
  </si>
  <si>
    <t xml:space="preserve">TBV (&gt; ¥11,000)</t>
  </si>
  <si>
    <t xml:space="preserve">≈¥7,750 (pre-Nidec; TBV)</t>
  </si>
  <si>
    <t xml:space="preserve">TBV (&gt;+55% vs pre-Nidec)</t>
  </si>
  <si>
    <t xml:space="preserve">Yes (JPM advised special committee)</t>
  </si>
  <si>
    <t xml:space="preserve">Successor to failed Nidec hostile bid</t>
  </si>
  <si>
    <t xml:space="preserve">FEFTA screening (foreign sponsor; machine tools = sensitive) (TBV)</t>
  </si>
  <si>
    <t xml:space="preserve">FEFTA inward-investment review (machine tools export-control adjacent); FIEA TOB</t>
  </si>
  <si>
    <t xml:space="preserve">Hostile pressure → higher white-knight outcome; foreign-PE ownership of dual-use machine-tool tech</t>
  </si>
  <si>
    <t xml:space="preserve">TOB completed; squeeze-out/delisting turn of 2025-26 (TBV)</t>
  </si>
  <si>
    <t xml:space="preserve">Share consolidation (TBV)</t>
  </si>
  <si>
    <t xml:space="preserve">TBV (≈2026 H1)</t>
  </si>
  <si>
    <t xml:space="preserve">Verified via search (JPM/Dealogic reference); dates TBV</t>
  </si>
  <si>
    <t xml:space="preserve">US$1.8bn per JPM 2026 outlook</t>
  </si>
  <si>
    <t xml:space="preserve">JP-032</t>
  </si>
  <si>
    <t xml:space="preserve">Merger of equals attempt (failed)</t>
  </si>
  <si>
    <t xml:space="preserve">Failed (talks terminated)</t>
  </si>
  <si>
    <t xml:space="preserve">Nissan Motor Co. (with Mitsubishi Motors optionality)</t>
  </si>
  <si>
    <t xml:space="preserve">7201 JP / TSE Prime</t>
  </si>
  <si>
    <t xml:space="preserve">Automotive</t>
  </si>
  <si>
    <t xml:space="preserve">Honda Motor Co. (proposed JV holding company)</t>
  </si>
  <si>
    <t xml:space="preserve">TSE Prime (7267)</t>
  </si>
  <si>
    <t xml:space="preserve">≈$58bn combined mkt-cap context (n.m.)</t>
  </si>
  <si>
    <t xml:space="preserve">n.m.</t>
  </si>
  <si>
    <t xml:space="preserve">MOU for joint holding company (target listing Aug 2026); collapsed when Honda pivoted to making Nissan a subsidiary</t>
  </si>
  <si>
    <t xml:space="preserve">Both boards initially supportive of MOU</t>
  </si>
  <si>
    <t xml:space="preserve">Foxconn (Hon Hai) interest in Nissan stake before/after — complicating factor</t>
  </si>
  <si>
    <t xml:space="preserve">n/a (Renault cross-holding legacy in background)</t>
  </si>
  <si>
    <t xml:space="preserve">Would have required global merger control</t>
  </si>
  <si>
    <t xml:space="preserve">n/a (terminated pre-agreement)</t>
  </si>
  <si>
    <t xml:space="preserve">Rescue-merger optics; pride/subsidiarization dispute; Nissan restructuring credibility; METI soft encouragement</t>
  </si>
  <si>
    <t xml:space="preserve">Effissimo historic stake in Nissan (TBV current); event funds whipsawed</t>
  </si>
  <si>
    <t xml:space="preserve">Terminated 13 Feb 2025; Nissan pursued standalone restructuring + partnerships</t>
  </si>
  <si>
    <t xml:space="preserve">Largest failed domestic combination of the window</t>
  </si>
  <si>
    <t xml:space="preserve">JP-033</t>
  </si>
  <si>
    <t xml:space="preserve">Cross-border outbound (insurance)</t>
  </si>
  <si>
    <t xml:space="preserve">Concluded (TBV exact close)</t>
  </si>
  <si>
    <t xml:space="preserve">Resolution Life Group Holdings</t>
  </si>
  <si>
    <t xml:space="preserve">Unlisted (Bermuda)</t>
  </si>
  <si>
    <t xml:space="preserve">Life insurance run-off consolidator</t>
  </si>
  <si>
    <t xml:space="preserve">Nippon Life Insurance Company</t>
  </si>
  <si>
    <t xml:space="preserve">Mutual (unlisted)</t>
  </si>
  <si>
    <t xml:space="preserve">≈¥1.2tn equiv.</t>
  </si>
  <si>
    <t xml:space="preserve">Acquisition of remaining interests (100% control)</t>
  </si>
  <si>
    <t xml:space="preserve">Yes — staged: prior minority investments since 2019</t>
  </si>
  <si>
    <t xml:space="preserve">Existing ~23% stake (TBV)</t>
  </si>
  <si>
    <t xml:space="preserve">Bermuda BMA / multi-jurisdiction insurance regulators</t>
  </si>
  <si>
    <t xml:space="preserve">US state insurance depts</t>
  </si>
  <si>
    <t xml:space="preserve">Insurance change-of-control approvals across jurisdictions</t>
  </si>
  <si>
    <t xml:space="preserve">Japanese insurers' offshore capital deployment wave</t>
  </si>
  <si>
    <t xml:space="preserve">Completed 2025 (TBV)</t>
  </si>
  <si>
    <t xml:space="preserve">Largest-ever acquisition by a Japanese insurer at announcement</t>
  </si>
  <si>
    <t xml:space="preserve">JP-034</t>
  </si>
  <si>
    <t xml:space="preserve">Cross-border outbound (chemicals)</t>
  </si>
  <si>
    <t xml:space="preserve">AOC (composite resins; from Lone Star)</t>
  </si>
  <si>
    <t xml:space="preserve">Specialty chemicals</t>
  </si>
  <si>
    <t xml:space="preserve">Nippon Paint Holdings</t>
  </si>
  <si>
    <t xml:space="preserve">TSE Prime (4612)</t>
  </si>
  <si>
    <t xml:space="preserve">≈¥650bn equiv.</t>
  </si>
  <si>
    <t xml:space="preserve">100% private acquisition from sponsor</t>
  </si>
  <si>
    <t xml:space="preserve">Auction</t>
  </si>
  <si>
    <t xml:space="preserve">US/EU antitrust</t>
  </si>
  <si>
    <t xml:space="preserve">Merger control only</t>
  </si>
  <si>
    <t xml:space="preserve">'Asset assembler' M&amp;A model; leverage appetite</t>
  </si>
  <si>
    <t xml:space="preserve">Closed 2025 (TBV)</t>
  </si>
  <si>
    <t xml:space="preserve">JP-035</t>
  </si>
  <si>
    <t xml:space="preserve">Concluded (substantial wins)</t>
  </si>
  <si>
    <t xml:space="preserve">Mitsui Fudosan Co., Ltd.</t>
  </si>
  <si>
    <t xml:space="preserve">8801 JP / TSE Prime</t>
  </si>
  <si>
    <t xml:space="preserve">Real estate</t>
  </si>
  <si>
    <t xml:space="preserve">Elliott Management (campaign)</t>
  </si>
  <si>
    <t xml:space="preserve">Stake ~2.5% (≈$1bn; TBV)</t>
  </si>
  <si>
    <t xml:space="preserve">Private-then-public pressure: demanded ~¥1tn buyback &amp; sale of Oriental Land (4661) stake</t>
  </si>
  <si>
    <t xml:space="preserve">≈2.5% (TBV)</t>
  </si>
  <si>
    <t xml:space="preserve">TSE capital-efficiency regime backdrop</t>
  </si>
  <si>
    <t xml:space="preserve">Cross-holding of OLC; developer P/B &lt;1</t>
  </si>
  <si>
    <t xml:space="preserve">Elliott</t>
  </si>
  <si>
    <t xml:space="preserve">Company announced large buybacks + partial OLC sell-down + capital plan (2024); campaign de-escalated</t>
  </si>
  <si>
    <t xml:space="preserve">High confidence (stake size TBV)</t>
  </si>
  <si>
    <t xml:space="preserve">JP-036</t>
  </si>
  <si>
    <t xml:space="preserve">Concluded/partially resolved (TBV)</t>
  </si>
  <si>
    <t xml:space="preserve">Sumitomo Corporation</t>
  </si>
  <si>
    <t xml:space="preserve">8053 JP / TSE Prime</t>
  </si>
  <si>
    <t xml:space="preserve">Trading house (sogo shosha)</t>
  </si>
  <si>
    <t xml:space="preserve">Stake reported &gt;$500mn (TBV)</t>
  </si>
  <si>
    <t xml:space="preserve">Engagement on buybacks/portfolio; company responded with capital-return upgrades</t>
  </si>
  <si>
    <t xml:space="preserve">Berkshire-driven shosha rerating; laggard valuation vs peers</t>
  </si>
  <si>
    <t xml:space="preserve">Enhanced buyback/shareholder-return policy (2024-25)</t>
  </si>
  <si>
    <t xml:space="preserve">JP-037</t>
  </si>
  <si>
    <t xml:space="preserve">Concluded/rolling (TBV)</t>
  </si>
  <si>
    <t xml:space="preserve">SoftBank Group Corp.</t>
  </si>
  <si>
    <t xml:space="preserve">9984 JP / TSE Prime</t>
  </si>
  <si>
    <t xml:space="preserve">Tech investment holding</t>
  </si>
  <si>
    <t xml:space="preserve">Elliott Management (campaign; rebuilt &gt;$2bn stake 2024)</t>
  </si>
  <si>
    <t xml:space="preserve">Stake &gt;$2,000mn (reported)</t>
  </si>
  <si>
    <t xml:space="preserve">Buyback demands vs NAV discount</t>
  </si>
  <si>
    <t xml:space="preserve">Yes — prior 2020 &amp; 2022 campaigns</t>
  </si>
  <si>
    <t xml:space="preserve">NAV discount vs AI capex pivot (Stargate/OpenAI) changing the thesis</t>
  </si>
  <si>
    <t xml:space="preserve">Periodic buybacks; discount later closed by AI rally (TBV)</t>
  </si>
  <si>
    <t xml:space="preserve">JP-038</t>
  </si>
  <si>
    <t xml:space="preserve">Activist campaign (EGM escalation)</t>
  </si>
  <si>
    <t xml:space="preserve">Concluded/partially resolved</t>
  </si>
  <si>
    <t xml:space="preserve">Keisei Electric Railway Co., Ltd.</t>
  </si>
  <si>
    <t xml:space="preserve">9009 JP / TSE Prime</t>
  </si>
  <si>
    <t xml:space="preserve">Rail / holder of ~20% Oriental Land</t>
  </si>
  <si>
    <t xml:space="preserve">Palliser Capital (campaign)</t>
  </si>
  <si>
    <t xml:space="preserve">Stake ~1.6%+ (TBV)</t>
  </si>
  <si>
    <t xml:space="preserve">EGM special resolution (Mar 2024) demanding partial OLC monetization — failed but ~29% support; continued pressure 2024-25</t>
  </si>
  <si>
    <t xml:space="preserve">Opposed</t>
  </si>
  <si>
    <t xml:space="preserve">Yes (multi-year)</t>
  </si>
  <si>
    <t xml:space="preserve">≈1.6% (TBV)</t>
  </si>
  <si>
    <t xml:space="preserve">Companies Act EGM/shareholder proposal mechanics; ISS/GL supported aspects (TBV)</t>
  </si>
  <si>
    <t xml:space="preserve">Holding-company discount via OLC stake; capital efficiency vs rail capex</t>
  </si>
  <si>
    <t xml:space="preserve">Palliser (lead)</t>
  </si>
  <si>
    <t xml:space="preserve">Keisei announced partial OLC sell-downs + buybacks (2024-25); campaign wound down (TBV)</t>
  </si>
  <si>
    <t xml:space="preserve">JP-039</t>
  </si>
  <si>
    <t xml:space="preserve">Activist campaign (stake unwind + buyback)</t>
  </si>
  <si>
    <t xml:space="preserve">Exedy Corporation</t>
  </si>
  <si>
    <t xml:space="preserve">7278 JP / TSE Prime</t>
  </si>
  <si>
    <t xml:space="preserve">Auto parts (clutches)</t>
  </si>
  <si>
    <t xml:space="preserve">Murakami group (City Index Eleventh etc.)</t>
  </si>
  <si>
    <t xml:space="preserve">Stake ~30%+ at peak (TBV)</t>
  </si>
  <si>
    <t xml:space="preserve">Bought Aisin's exiting block (~33%); pressured; company executed very large buyback/tender; Murakami exited</t>
  </si>
  <si>
    <t xml:space="preserve">Engaged</t>
  </si>
  <si>
    <t xml:space="preserve">Yes (Murakami playbook)</t>
  </si>
  <si>
    <t xml:space="preserve">≈33% (from Aisin block)</t>
  </si>
  <si>
    <t xml:space="preserve">Cross-shareholding unwind meets activist accumulation; buyback/ToSTNeT mechanics</t>
  </si>
  <si>
    <t xml:space="preserve">'Buyback greenmail' criticism vs efficient capital return</t>
  </si>
  <si>
    <t xml:space="preserve">Murakami group</t>
  </si>
  <si>
    <t xml:space="preserve">Company buyback absorbed stake; activist exit with profit (2024-25) (TBV specifics)</t>
  </si>
  <si>
    <t xml:space="preserve">Medium — verify</t>
  </si>
  <si>
    <t xml:space="preserve">Template repeated across Murakami positions</t>
  </si>
  <si>
    <t xml:space="preserve">JP-040</t>
  </si>
  <si>
    <t xml:space="preserve">Carve-out sale to PE (from listed parent)</t>
  </si>
  <si>
    <t xml:space="preserve">Mitsubishi Tanabe Pharma Corporation</t>
  </si>
  <si>
    <t xml:space="preserve">Unlisted (parent 4188 JP)</t>
  </si>
  <si>
    <t xml:space="preserve">Pharmaceuticals</t>
  </si>
  <si>
    <t xml:space="preserve">100% purchase from Mitsubishi Chemical Group</t>
  </si>
  <si>
    <t xml:space="preserve">Seller board approved</t>
  </si>
  <si>
    <t xml:space="preserve">Foreign antitrust (TBV)</t>
  </si>
  <si>
    <t xml:space="preserve">Merger control; pharma licenses</t>
  </si>
  <si>
    <t xml:space="preserve">MCG portfolio focus under new CEO; Japan pharma carve-out wave</t>
  </si>
  <si>
    <t xml:space="preserve">JP-041</t>
  </si>
  <si>
    <t xml:space="preserve">PE take-private (ex-activist target)</t>
  </si>
  <si>
    <t xml:space="preserve">Concluded (TBV)</t>
  </si>
  <si>
    <t xml:space="preserve">Topcon Corporation</t>
  </si>
  <si>
    <t xml:space="preserve">7732 JP / TSE Prime</t>
  </si>
  <si>
    <t xml:space="preserve">Precision instruments (positioning/eyecare)</t>
  </si>
  <si>
    <t xml:space="preserve">KKR + JIC Capital consortium</t>
  </si>
  <si>
    <t xml:space="preserve">KKR US; JIC unlisted</t>
  </si>
  <si>
    <t xml:space="preserve">TOB ¥3,300/sh + squeeze-out (TBV structure detail)</t>
  </si>
  <si>
    <t xml:space="preserve">¥3,300</t>
  </si>
  <si>
    <t xml:space="preserve">TBV (~+60% vs pre-process; TBV)</t>
  </si>
  <si>
    <t xml:space="preserve">Auction with multiple sponsors (TBV)</t>
  </si>
  <si>
    <t xml:space="preserve">ValueAct ~14% supportive holder (TBV)</t>
  </si>
  <si>
    <t xml:space="preserve">FEFTA (foreign sponsor; sensitive positioning tech) (TBV)</t>
  </si>
  <si>
    <t xml:space="preserve">Foreign antitrust</t>
  </si>
  <si>
    <t xml:space="preserve">FEFTA screening; FIEA TOB</t>
  </si>
  <si>
    <t xml:space="preserve">Activist (ValueAct) catalyzed strategic review → state-linked JIC co-investing alongside foreign PE (novel pairing)</t>
  </si>
  <si>
    <t xml:space="preserve">ValueAct (catalyst)</t>
  </si>
  <si>
    <t xml:space="preserve">TOB + squeeze-out (TBV dates)</t>
  </si>
  <si>
    <t xml:space="preserve">JP-042</t>
  </si>
  <si>
    <t xml:space="preserve">Parent-subsidiary minority buy-in (mega)</t>
  </si>
  <si>
    <t xml:space="preserve">NTT Data Group Corporation</t>
  </si>
  <si>
    <t xml:space="preserve">9613 JP / TSE Prime</t>
  </si>
  <si>
    <t xml:space="preserve">IT services</t>
  </si>
  <si>
    <t xml:space="preserve">Nippon Telegraph and Telephone Corporation (NTT)</t>
  </si>
  <si>
    <t xml:space="preserve">TSE Prime (9432)</t>
  </si>
  <si>
    <t xml:space="preserve">TOB ¥4,000/sh for ~42% minorities + squeeze-out</t>
  </si>
  <si>
    <t xml:space="preserve">¥4,000</t>
  </si>
  <si>
    <t xml:space="preserve">≈¥2,990 (TBV)</t>
  </si>
  <si>
    <t xml:space="preserve">NTT ~58%</t>
  </si>
  <si>
    <t xml:space="preserve">Controlling-shareholder buyout fairness; NTT Law backdrop</t>
  </si>
  <si>
    <t xml:space="preserve">Largest parent-sub buy-in ever in Japan; index-flow mechanics; minority premium adequacy</t>
  </si>
  <si>
    <t xml:space="preserve">TOB + squeeze-out; delisted Jul 2025 (TBV exact date)</t>
  </si>
  <si>
    <t xml:space="preserve">2025/07 (TBV)</t>
  </si>
  <si>
    <t xml:space="preserve">JP-043</t>
  </si>
  <si>
    <t xml:space="preserve">Group take-private (governance-driven)</t>
  </si>
  <si>
    <t xml:space="preserve">Concluded (TOB completed Mar 2026; squeeze-out in train)</t>
  </si>
  <si>
    <t xml:space="preserve">Toyota Industries Corporation</t>
  </si>
  <si>
    <t xml:space="preserve">6201 JP / TSE Prime</t>
  </si>
  <si>
    <t xml:space="preserve">Auto parts / forklifts (Toyota Group nucleus)</t>
  </si>
  <si>
    <t xml:space="preserve">Toyota Fudosan Co., Ltd. (with investment from Akio Toyoda &amp; Toyota Motor; group cross-holding unwind)</t>
  </si>
  <si>
    <t xml:space="preserve">Unlisted (Toyota group)</t>
  </si>
  <si>
    <t xml:space="preserve">TOB ¥16,300/sh (launched Jan 2026, completed Mar 2026) + preferred/common investments by Toyota Motor &amp; Chairman Toyoda; unwind of circular holdings</t>
  </si>
  <si>
    <t xml:space="preserve">¥16,300</t>
  </si>
  <si>
    <t xml:space="preserve">¥16,300 (no bump despite objections)</t>
  </si>
  <si>
    <t xml:space="preserve">≈¥13,225 (2025/04/25 pre-report close; TBV)</t>
  </si>
  <si>
    <t xml:space="preserve">≈+23% (criticized as low; TBV)</t>
  </si>
  <si>
    <t xml:space="preserve">For (special committee approved amid dissent from minority investors)</t>
  </si>
  <si>
    <t xml:space="preserve">None (group solution)</t>
  </si>
  <si>
    <t xml:space="preserve">Toyota group companies ~38%+ aggregate (TBV)</t>
  </si>
  <si>
    <t xml:space="preserve">Controlling-group buyout fairness; METI guidelines; index exclusion mechanics; cross-shareholding policy</t>
  </si>
  <si>
    <t xml:space="preserve">Premium adequacy (initial reports of ¥18k-area hopes); minority investors (incl. overseas funds) publicly objected; governance concentration under Chairman Toyoda; real-estate value of Toyota Fudosan as acquirer</t>
  </si>
  <si>
    <t xml:space="preserve">Foreign institutional dissent (e.g., UK/US funds; names TBV); event funds active</t>
  </si>
  <si>
    <t xml:space="preserve">TOB completed Mar 2026 (US$31.2bn per RECOF/Lexology); squeeze-out/delisting to follow</t>
  </si>
  <si>
    <t xml:space="preserve">Share consolidation (expected)</t>
  </si>
  <si>
    <t xml:space="preserve">2026 (expected; TBV)</t>
  </si>
  <si>
    <t xml:space="preserve">Verified via search (completion Mar 2026)</t>
  </si>
  <si>
    <t xml:space="preserve">Largest Japan take-private ever</t>
  </si>
  <si>
    <t xml:space="preserve">JP-044</t>
  </si>
  <si>
    <t xml:space="preserve">Hostile cross-border TOB (won) vs white knight</t>
  </si>
  <si>
    <t xml:space="preserve">Concluded (hostile bidder won)</t>
  </si>
  <si>
    <t xml:space="preserve">Shibaura Electronics Co., Ltd.</t>
  </si>
  <si>
    <t xml:space="preserve">6957 JP / TSE Standard</t>
  </si>
  <si>
    <t xml:space="preserve">NTC thermistors (sensors)</t>
  </si>
  <si>
    <t xml:space="preserve">Yageo Corporation (Taiwan) — winner; MinebeaMitsumi — white knight (withdrew)</t>
  </si>
  <si>
    <t xml:space="preserve">Yageo 2327 TT / TWSE; Minebea 6479 JP</t>
  </si>
  <si>
    <t xml:space="preserve">Yageo consentless TOB ¥4,300 (Feb intent; launched 2025/05/09) vs Minebea white-knight TOB ¥4,500→¥5,500→¥6,200; Yageo final ¥7,130; 60+ business-day contest</t>
  </si>
  <si>
    <t xml:space="preserve">¥7,130 (Yageo)</t>
  </si>
  <si>
    <t xml:space="preserve">Yageo ¥4,300→¥6,635→¥7,130 (multiple bumps); Minebea capped at ¥6,200</t>
  </si>
  <si>
    <t xml:space="preserve">TBV (pre-2025/02/05)</t>
  </si>
  <si>
    <t xml:space="preserve">TBV (final &gt;+65% vs Yageo's own initial bid)</t>
  </si>
  <si>
    <t xml:space="preserve">Opposed Yageo initially / For Minebea; withdrew opposition to Yageo Sep 2025 as price gap widened</t>
  </si>
  <si>
    <t xml:space="preserve">Yes — full white-knight auction</t>
  </si>
  <si>
    <t xml:space="preserve">MOF/METI — FEFTA 'core designated business' review (~7 months; conditions imposed)</t>
  </si>
  <si>
    <t xml:space="preserve">Taiwan outbound approvals (TBV)</t>
  </si>
  <si>
    <t xml:space="preserve">FEFTA core national-security review (thermistors classified core Aug 2025); first successful hostile foreign takeover of a FEFTA-core Japanese listco; TOB extension mechanics</t>
  </si>
  <si>
    <t xml:space="preserve">Economic security vs open markets; whether FEFTA delay would kill the higher bid; board's duty when foreign hostile bid is highest; Minebea's 'synergy needs trust' argument failed</t>
  </si>
  <si>
    <t xml:space="preserve">Event-driven funds decisive in tendering to higher bid</t>
  </si>
  <si>
    <t xml:space="preserve">Yageo cleared FEFTA with conditions (Sep 2025); TOB succeeded 3 Oct 2025 (settlement 20 Oct); squeeze-out; delisted 13 Jan 2026; 100% held 15 Jan 2026</t>
  </si>
  <si>
    <t xml:space="preserve">2026/01/13</t>
  </si>
  <si>
    <t xml:space="preserve">Verified via search</t>
  </si>
  <si>
    <t xml:space="preserve">Watershed for foreign hostile M&amp;A in Japan</t>
  </si>
  <si>
    <t xml:space="preserve">JP-045</t>
  </si>
  <si>
    <t xml:space="preserve">Carve-out sale to PE (activist-driven breakup)</t>
  </si>
  <si>
    <t xml:space="preserve">York Holdings (Ito-Yokado, York-Benimaru et al. — Seven &amp; i superstore business)</t>
  </si>
  <si>
    <t xml:space="preserve">Supermarkets / GMS</t>
  </si>
  <si>
    <t xml:space="preserve">Bain Capital (parent &amp; founding family retain minority)</t>
  </si>
  <si>
    <t xml:space="preserve">~60% sale of carved-out York Holdings; EV ¥814.7bn</t>
  </si>
  <si>
    <t xml:space="preserve">Seller board approved (defense-driven)</t>
  </si>
  <si>
    <t xml:space="preserve">Yes (at parent, re ACT context)</t>
  </si>
  <si>
    <t xml:space="preserve">Auction (KKR, Fortress et al.; TBV)</t>
  </si>
  <si>
    <t xml:space="preserve">Merger control</t>
  </si>
  <si>
    <t xml:space="preserve">Breakup executed under ACT siege &amp; activist pressure; valuation vs book; founding-family reinvestment</t>
  </si>
  <si>
    <t xml:space="preserve">ValueAct/Artisan pressure at parent as backdrop</t>
  </si>
  <si>
    <t xml:space="preserve">Closed 1 Sep 2025</t>
  </si>
  <si>
    <t xml:space="preserve">Read with ACT row</t>
  </si>
  <si>
    <t xml:space="preserve">JP-046</t>
  </si>
  <si>
    <t xml:space="preserve">Concluded 2026 (TBV)</t>
  </si>
  <si>
    <t xml:space="preserve">Aspen Insurance Holdings</t>
  </si>
  <si>
    <t xml:space="preserve">AHL US / NYSE (re-IPO'd 2025)</t>
  </si>
  <si>
    <t xml:space="preserve">Specialty (re)insurance</t>
  </si>
  <si>
    <t xml:space="preserve">Sompo Holdings</t>
  </si>
  <si>
    <t xml:space="preserve">TSE Prime (8630)</t>
  </si>
  <si>
    <t xml:space="preserve">≈¥500bn equiv.</t>
  </si>
  <si>
    <t xml:space="preserve">Cash acquisition from Apollo-controlled holder (US$37.50/sh; TBV)</t>
  </si>
  <si>
    <t xml:space="preserve">US$37.50 (TBV)</t>
  </si>
  <si>
    <t xml:space="preserve">Bermuda BMA / US state regulators</t>
  </si>
  <si>
    <t xml:space="preserve">Lloyd's/PRA (TBV)</t>
  </si>
  <si>
    <t xml:space="preserve">Insurance change of control</t>
  </si>
  <si>
    <t xml:space="preserve">Japanese insurer offshore expansion wave (with Nippon Life/Resolution, Meiji Yasuda/L&amp;G US)</t>
  </si>
  <si>
    <t xml:space="preserve">Pending/closing 2026 (TBV)</t>
  </si>
  <si>
    <t xml:space="preserve">Merger</t>
  </si>
  <si>
    <t xml:space="preserve">JP-047</t>
  </si>
  <si>
    <t xml:space="preserve">Cross-border outbound (asset management)</t>
  </si>
  <si>
    <t xml:space="preserve">Macquarie's US &amp; European public asset management business</t>
  </si>
  <si>
    <t xml:space="preserve">Unlisted (carve-out)</t>
  </si>
  <si>
    <t xml:space="preserve">Asset management</t>
  </si>
  <si>
    <t xml:space="preserve">Nomura Holdings</t>
  </si>
  <si>
    <t xml:space="preserve">TSE Prime (8604)</t>
  </si>
  <si>
    <t xml:space="preserve">≈¥260bn equiv.</t>
  </si>
  <si>
    <t xml:space="preserve">Carve-out purchase (~$180bn AUM)</t>
  </si>
  <si>
    <t xml:space="preserve">SEC/US approvals</t>
  </si>
  <si>
    <t xml:space="preserve">EU/UK regulators</t>
  </si>
  <si>
    <t xml:space="preserve">Investment-adviser change of control</t>
  </si>
  <si>
    <t xml:space="preserve">Nomura's US retail-AM re-entry post-Archegos era</t>
  </si>
  <si>
    <t xml:space="preserve">Closing 2026 (TBV)</t>
  </si>
  <si>
    <t xml:space="preserve">JP-048</t>
  </si>
  <si>
    <t xml:space="preserve">Cross-border outbound (tech)</t>
  </si>
  <si>
    <t xml:space="preserve">Concluded 2025 (TBV)</t>
  </si>
  <si>
    <t xml:space="preserve">Ampere Computing</t>
  </si>
  <si>
    <t xml:space="preserve">Unlisted (US)</t>
  </si>
  <si>
    <t xml:space="preserve">Semiconductors (Arm server CPUs)</t>
  </si>
  <si>
    <t xml:space="preserve">SoftBank Group</t>
  </si>
  <si>
    <t xml:space="preserve">TSE Prime (9984)</t>
  </si>
  <si>
    <t xml:space="preserve">≈¥970bn equiv.</t>
  </si>
  <si>
    <t xml:space="preserve">100% cash acquisition (Carlyle &amp; Oracle exiting)</t>
  </si>
  <si>
    <t xml:space="preserve">Arm ecosystem ties</t>
  </si>
  <si>
    <t xml:space="preserve">CFIUS (TBV)</t>
  </si>
  <si>
    <t xml:space="preserve">HSR</t>
  </si>
  <si>
    <t xml:space="preserve">US FDI/antitrust</t>
  </si>
  <si>
    <t xml:space="preserve">SBG AI-infrastructure pivot (Stargate complex)</t>
  </si>
  <si>
    <t xml:space="preserve">Elliott stake at SBG (context)</t>
  </si>
  <si>
    <t xml:space="preserve">JP-049</t>
  </si>
  <si>
    <t xml:space="preserve">Cross-border outbound (robotics carve-out)</t>
  </si>
  <si>
    <t xml:space="preserve">In progress (close expected 2026)</t>
  </si>
  <si>
    <t xml:space="preserve">ABB Robotics division</t>
  </si>
  <si>
    <t xml:space="preserve">Carve-out (ABB: ABBN SW)</t>
  </si>
  <si>
    <t xml:space="preserve">Industrial robotics</t>
  </si>
  <si>
    <t xml:space="preserve">≈¥800bn equiv.</t>
  </si>
  <si>
    <t xml:space="preserve">Carve-out purchase (US$5.375bn)</t>
  </si>
  <si>
    <t xml:space="preserve">For (both)</t>
  </si>
  <si>
    <t xml:space="preserve">ABB had planned spin-off IPO instead</t>
  </si>
  <si>
    <t xml:space="preserve">EU/US/China merger control</t>
  </si>
  <si>
    <t xml:space="preserve">FDI screenings (multi)</t>
  </si>
  <si>
    <t xml:space="preserve">Multi-jurisdiction clearances</t>
  </si>
  <si>
    <t xml:space="preserve">'Physical AI' thesis; preempted spin-off</t>
  </si>
  <si>
    <t xml:space="preserve">Pending (expected close 2026)</t>
  </si>
  <si>
    <t xml:space="preserve">JP-050</t>
  </si>
  <si>
    <t xml:space="preserve">Cross-border outbound (consortium, aviation leasing)</t>
  </si>
  <si>
    <t xml:space="preserve">In progress</t>
  </si>
  <si>
    <t xml:space="preserve">Air Lease Corporation</t>
  </si>
  <si>
    <t xml:space="preserve">AL US / NYSE</t>
  </si>
  <si>
    <t xml:space="preserve">Aircraft leasing</t>
  </si>
  <si>
    <t xml:space="preserve">Sumitomo Corporation + SMBC Aviation Capital + Apollo + Brookfield consortium</t>
  </si>
  <si>
    <t xml:space="preserve">8053 JP / unlisted / APO US / BN US</t>
  </si>
  <si>
    <t xml:space="preserve">≈¥1.1tn equity (≈$28bn incl. debt)</t>
  </si>
  <si>
    <t xml:space="preserve">Cash merger (consortium)</t>
  </si>
  <si>
    <t xml:space="preserve">US$65.00/sh (TBV)</t>
  </si>
  <si>
    <t xml:space="preserve">TBV (~+7% headline; low-premium debate TBV)</t>
  </si>
  <si>
    <t xml:space="preserve">SMBC AC industrial logic</t>
  </si>
  <si>
    <t xml:space="preserve">HSR / global merger control</t>
  </si>
  <si>
    <t xml:space="preserve">Aviation regulators (TBV)</t>
  </si>
  <si>
    <t xml:space="preserve">Merger control; financing</t>
  </si>
  <si>
    <t xml:space="preserve">Japan capital + US sponsors consortium model</t>
  </si>
  <si>
    <t xml:space="preserve">Pending (2026 close expected)</t>
  </si>
  <si>
    <t xml:space="preserve">Expected on close</t>
  </si>
  <si>
    <t xml:space="preserve">Medium (per JPM/Lexology references)</t>
  </si>
  <si>
    <t xml:space="preserve">JP-051</t>
  </si>
  <si>
    <t xml:space="preserve">SCSK Corporation</t>
  </si>
  <si>
    <t xml:space="preserve">9719 JP / TSE Prime</t>
  </si>
  <si>
    <t xml:space="preserve">TSE Prime (8053)</t>
  </si>
  <si>
    <t xml:space="preserve">≈¥900bn equiv.</t>
  </si>
  <si>
    <t xml:space="preserve">Cash TOB (launched Oct 2025) + share consolidation squeeze-out (completed Mar 2026)</t>
  </si>
  <si>
    <t xml:space="preserve">Sumitomo ~50%+</t>
  </si>
  <si>
    <t xml:space="preserve">Controlling-shareholder buyout fairness</t>
  </si>
  <si>
    <t xml:space="preserve">Trading houses internalizing IT-services value (cf. NTT Data)</t>
  </si>
  <si>
    <t xml:space="preserve">Squeeze-out completed Mar 2026</t>
  </si>
  <si>
    <t xml:space="preserve">2026 (TBV)</t>
  </si>
  <si>
    <t xml:space="preserve">Verified via search (Lexology/RECOF)</t>
  </si>
  <si>
    <t xml:space="preserve">Announced/launch dates approximate (Oct 2025) — TBV exact</t>
  </si>
  <si>
    <t xml:space="preserve">JP-052</t>
  </si>
  <si>
    <t xml:space="preserve">Third-party TOB for listed subsidiary (parent sells)</t>
  </si>
  <si>
    <t xml:space="preserve">Sumitomo Densetsu Co., Ltd.</t>
  </si>
  <si>
    <t xml:space="preserve">1949 JP / TSE Prime</t>
  </si>
  <si>
    <t xml:space="preserve">Electrical engineering/facilities</t>
  </si>
  <si>
    <t xml:space="preserve">Daiwa House Industry Co., Ltd. (Sumitomo Electric selling)</t>
  </si>
  <si>
    <t xml:space="preserve">TSE Prime (1925)</t>
  </si>
  <si>
    <t xml:space="preserve">≈¥170bn equiv.</t>
  </si>
  <si>
    <t xml:space="preserve">Cash TOB (Oct 2025) + share consolidation (Mar 2026); parent Sumitomo Electric exited to third party</t>
  </si>
  <si>
    <t xml:space="preserve">Sumitomo Electric ~50% seller</t>
  </si>
  <si>
    <t xml:space="preserve">Listed-sub exit via third-party TOB (METI guidance preferred route)</t>
  </si>
  <si>
    <t xml:space="preserve">Model for parent exits at premium vs in-group buy-ins</t>
  </si>
  <si>
    <t xml:space="preserve">Completed Mar 2026</t>
  </si>
  <si>
    <t xml:space="preserve">Announced date approximate (Oct 2025) — TBV exact</t>
  </si>
  <si>
    <t xml:space="preserve">JP-053</t>
  </si>
  <si>
    <t xml:space="preserve">PE take-private (post-activism)</t>
  </si>
  <si>
    <t xml:space="preserve">Concluded/closing (TBV)</t>
  </si>
  <si>
    <t xml:space="preserve">Fujitec Co., Ltd.</t>
  </si>
  <si>
    <t xml:space="preserve">6406 JP / TSE Prime</t>
  </si>
  <si>
    <t xml:space="preserve">Elevators/escalators</t>
  </si>
  <si>
    <t xml:space="preserve">EQT</t>
  </si>
  <si>
    <t xml:space="preserve">EQT SS / Nasdaq Stockholm</t>
  </si>
  <si>
    <t xml:space="preserve">Take-private TOB + squeeze-out (¥ per-share TBV)</t>
  </si>
  <si>
    <t xml:space="preserve">TBV (auction reported)</t>
  </si>
  <si>
    <t xml:space="preserve">Oasis ~17% legacy stake (TBV)</t>
  </si>
  <si>
    <t xml:space="preserve">China antitrust (large China business) (TBV)</t>
  </si>
  <si>
    <t xml:space="preserve">FEFTA (TBV)</t>
  </si>
  <si>
    <t xml:space="preserve">FIEA TOB; foreign clearances</t>
  </si>
  <si>
    <t xml:space="preserve">Endgame of Oasis's multi-year governance war (2022-23 chairman ouster); PE as exit for activist</t>
  </si>
  <si>
    <t xml:space="preserve">Oasis Management (multi-year campaign preceding sale)</t>
  </si>
  <si>
    <t xml:space="preserve">TOB completed / squeeze-out in train (TBV dates)</t>
  </si>
  <si>
    <t xml:space="preserve">TBV (2026)</t>
  </si>
  <si>
    <t xml:space="preserve">Medium — ¥407.8bn per Chambers; verify dates/price</t>
  </si>
  <si>
    <t xml:space="preserve">Announced date approximate — TBV</t>
  </si>
  <si>
    <t xml:space="preserve">JP-054</t>
  </si>
  <si>
    <t xml:space="preserve">In progress / partially resolved</t>
  </si>
  <si>
    <t xml:space="preserve">Tokyo Gas Co., Ltd.</t>
  </si>
  <si>
    <t xml:space="preserve">9531 JP / TSE Prime</t>
  </si>
  <si>
    <t xml:space="preserve">Gas utility (large real-estate book)</t>
  </si>
  <si>
    <t xml:space="preserve">Elliott Management (campaign, ~5%)</t>
  </si>
  <si>
    <t xml:space="preserve">Stake ~5% (≈$1bn; TBV)</t>
  </si>
  <si>
    <t xml:space="preserve">Demands: monetize ¥1tn+ real-estate portfolio, raise returns</t>
  </si>
  <si>
    <t xml:space="preserve">≈5%</t>
  </si>
  <si>
    <t xml:space="preserve">Utility-sector sensitivities; TSE reform backdrop</t>
  </si>
  <si>
    <t xml:space="preserve">Hidden-asset (real estate) thesis applied to utilities</t>
  </si>
  <si>
    <t xml:space="preserve">Company upgraded capital-return/asset-review plans (2025) (TBV); position ongoing</t>
  </si>
  <si>
    <t xml:space="preserve">JP-055</t>
  </si>
  <si>
    <t xml:space="preserve">Activist campaign (proxy fight, media)</t>
  </si>
  <si>
    <t xml:space="preserve">Concluded (nominees lost; board overhauled anyway)</t>
  </si>
  <si>
    <t xml:space="preserve">Fuji Media Holdings</t>
  </si>
  <si>
    <t xml:space="preserve">4676 JP / TSE Prime</t>
  </si>
  <si>
    <t xml:space="preserve">Broadcasting / real estate</t>
  </si>
  <si>
    <t xml:space="preserve">Dalton Investments / Rising Sun Management (campaign); SBI's Kitao aligned pressure</t>
  </si>
  <si>
    <t xml:space="preserve">Stake ~7%+ (with related; TBV)</t>
  </si>
  <si>
    <t xml:space="preserve">12-director slate at June 2025 AGM after Nakai scandal &amp; sponsor exodus; demands incl. real-estate separation</t>
  </si>
  <si>
    <t xml:space="preserve">Yes (Dalton long-running FMH engagement)</t>
  </si>
  <si>
    <t xml:space="preserve">≈7% + allies (TBV)</t>
  </si>
  <si>
    <t xml:space="preserve">Broadcast Act foreign-ownership caps (constrains activism/M&amp;A)</t>
  </si>
  <si>
    <t xml:space="preserve">Broadcast Act 20% foreign voting cap — unique regulatory friction for media activism</t>
  </si>
  <si>
    <t xml:space="preserve">Governance collapse post-scandal; property assets vs broadcast core; foreign-cap loopholes</t>
  </si>
  <si>
    <t xml:space="preserve">Dalton/Rising Sun (lead); others on register</t>
  </si>
  <si>
    <t xml:space="preserve">AGM slate defeated (Jun 2025) but board/management substantially replaced under pressure</t>
  </si>
  <si>
    <t xml:space="preserve">High confidence (stake TBV)</t>
  </si>
  <si>
    <t xml:space="preserve">JP-056</t>
  </si>
  <si>
    <t xml:space="preserve">Strategic TOB (long-gestation parent exit)</t>
  </si>
  <si>
    <t xml:space="preserve">In progress (TOB 2026; TBV)</t>
  </si>
  <si>
    <t xml:space="preserve">Fujitsu General Limited</t>
  </si>
  <si>
    <t xml:space="preserve">6755 JP / TSE Prime</t>
  </si>
  <si>
    <t xml:space="preserve">Air conditioning</t>
  </si>
  <si>
    <t xml:space="preserve">Paloma Rheem Holdings</t>
  </si>
  <si>
    <t xml:space="preserve">TOB for all shares incl. Fujitsu's ~42% (per-share TBV)</t>
  </si>
  <si>
    <t xml:space="preserve">For (TBV)</t>
  </si>
  <si>
    <t xml:space="preserve">Yes (TBV)</t>
  </si>
  <si>
    <t xml:space="preserve">Multi-year strategic review with several suitors before Paloma (TBV)</t>
  </si>
  <si>
    <t xml:space="preserve">Fujitsu ~42% seller</t>
  </si>
  <si>
    <t xml:space="preserve">FIEA TOB</t>
  </si>
  <si>
    <t xml:space="preserve">Fujitsu portfolio exit finally executed after aborted processes</t>
  </si>
  <si>
    <t xml:space="preserve">Pending (TBV)</t>
  </si>
  <si>
    <t xml:space="preserve">Low/Medium — dates &amp; terms TBV</t>
  </si>
  <si>
    <t xml:space="preserve">Verify announcement date &amp; price before publication</t>
  </si>
  <si>
    <t xml:space="preserve">JP-057</t>
  </si>
  <si>
    <t xml:space="preserve">Activist-driven sector consolidation</t>
  </si>
  <si>
    <t xml:space="preserve">Concluded (TBV final step dates)</t>
  </si>
  <si>
    <t xml:space="preserve">Tsuruha Holdings / Welcia Holdings (merger; Aeon consolidation)</t>
  </si>
  <si>
    <t xml:space="preserve">3391 JP / 3141 JP</t>
  </si>
  <si>
    <t xml:space="preserve">Drugstores</t>
  </si>
  <si>
    <t xml:space="preserve">Aeon Co., Ltd. (top shareholder; share exchange integration)</t>
  </si>
  <si>
    <t xml:space="preserve">TSE Prime (8267)</t>
  </si>
  <si>
    <t xml:space="preserve">n.m. (share exchange; combined sales ¥2tn+)</t>
  </si>
  <si>
    <t xml:space="preserve">Aeon bought Oasis's Tsuruha block (2024) → Tsuruha-Welcia share-exchange merger → Aeon-consolidated drugstore leader</t>
  </si>
  <si>
    <t xml:space="preserve">n/a (exchange ratios)</t>
  </si>
  <si>
    <t xml:space="preserve">For (all boards)</t>
  </si>
  <si>
    <t xml:space="preserve">Yes (conflict management re Aeon)</t>
  </si>
  <si>
    <t xml:space="preserve">Yes (Aeon staged consolidation)</t>
  </si>
  <si>
    <t xml:space="preserve">Aeon ~13→25%+ Tsuruha; ~51% Welcia (TBV)</t>
  </si>
  <si>
    <t xml:space="preserve">JFTC (major retail overlap)</t>
  </si>
  <si>
    <t xml:space="preserve">JFTC review of #1 drugstore combination; share-exchange (kabushiki kōkan) mechanics</t>
  </si>
  <si>
    <t xml:space="preserve">Oasis's stake sale as catalyst; minority terms in exchange ratio; creation of national champion</t>
  </si>
  <si>
    <t xml:space="preserve">Oasis Management (Tsuruha stake; catalyst &amp; seller)</t>
  </si>
  <si>
    <t xml:space="preserve">Integration completed 2025 (TBV steps)</t>
  </si>
  <si>
    <t xml:space="preserve">Share exchange</t>
  </si>
  <si>
    <t xml:space="preserve">Welcia via exchange (TBV)</t>
  </si>
  <si>
    <t xml:space="preserve">Medium — verify structure dates</t>
  </si>
  <si>
    <t xml:space="preserve">JP-058</t>
  </si>
  <si>
    <t xml:space="preserve">Cross-border carve-out (inbound purchase of division)</t>
  </si>
  <si>
    <t xml:space="preserve">Renesas Electronics — timing products business</t>
  </si>
  <si>
    <t xml:space="preserve">Carve-out (parent 6723 JP)</t>
  </si>
  <si>
    <t xml:space="preserve">Semiconductors (timing)</t>
  </si>
  <si>
    <t xml:space="preserve">SiTime Corporation</t>
  </si>
  <si>
    <t xml:space="preserve">SITM US / Nasdaq</t>
  </si>
  <si>
    <t xml:space="preserve">≈¥440bn equiv.</t>
  </si>
  <si>
    <t xml:space="preserve">Cash purchase of business unit</t>
  </si>
  <si>
    <t xml:space="preserve">HSR / global antitrust</t>
  </si>
  <si>
    <t xml:space="preserve">FEFTA (outbound tech transfer angle TBV)</t>
  </si>
  <si>
    <t xml:space="preserve">Renesas deleveraging/portfolio pruning after Altium</t>
  </si>
  <si>
    <t xml:space="preserve">Pending</t>
  </si>
  <si>
    <t xml:space="preserve">Verified via search (announced Feb 2026)</t>
  </si>
  <si>
    <t xml:space="preserve">Exact announce date TBV</t>
  </si>
  <si>
    <t xml:space="preserve">JP-059</t>
  </si>
  <si>
    <t xml:space="preserve">PE take-private (recapitalization)</t>
  </si>
  <si>
    <t xml:space="preserve">In progress (shareholder vote Jun 2026; close ~Mar 2027)</t>
  </si>
  <si>
    <t xml:space="preserve">Nippon Sheet Glass Company, Limited</t>
  </si>
  <si>
    <t xml:space="preserve">5202 JP / TSE Prime</t>
  </si>
  <si>
    <t xml:space="preserve">Glass (architectural/auto/solar)</t>
  </si>
  <si>
    <t xml:space="preserve">Apollo Global Management (Apollo Funds)</t>
  </si>
  <si>
    <t xml:space="preserve">APO US / NYSE</t>
  </si>
  <si>
    <t xml:space="preserve">Take-private at ¥500/sh + ¥165bn new equity + lender debt-for-equity swap (comprehensive recap); largest Apollo Japan PE deal</t>
  </si>
  <si>
    <t xml:space="preserve">¥500</t>
  </si>
  <si>
    <t xml:space="preserve">TBV (traded well below ¥500 pre-deal)</t>
  </si>
  <si>
    <t xml:space="preserve">TBV (significant premium per reports)</t>
  </si>
  <si>
    <t xml:space="preserve">Lender coordination (SMBC et al.) central</t>
  </si>
  <si>
    <t xml:space="preserve">Multi-jurisdiction antitrust/FDI</t>
  </si>
  <si>
    <t xml:space="preserve">METI (watching; friendly-buyout framing)</t>
  </si>
  <si>
    <t xml:space="preserve">Scheme includes debt restructuring; shareholder approval June 2026; FEFTA (TBV classification)</t>
  </si>
  <si>
    <t xml:space="preserve">Rescue-style P2P of over-levered industrial; solar/EV glass pivot; precedent for creditor-led take-privates</t>
  </si>
  <si>
    <t xml:space="preserve">Pending — vote Jun 2026, close ~Mar 2027, delist expected ~Nov 2026 (reports differ; TBV)</t>
  </si>
  <si>
    <t xml:space="preserve">TBV (likely share consolidation post-TOB or squeeze-out via vote)</t>
  </si>
  <si>
    <t xml:space="preserve">Expected 2026 H2 (TBV)</t>
  </si>
  <si>
    <t xml:space="preserve">Verified via search (announced 2026/03/23)</t>
  </si>
  <si>
    <t xml:space="preserve">JP-060</t>
  </si>
  <si>
    <t xml:space="preserve">PE take-private (activist-assisted, discount TOB)</t>
  </si>
  <si>
    <t xml:space="preserve">In progress (TOB expected from ~Oct 2026)</t>
  </si>
  <si>
    <t xml:space="preserve">Taiyo Holdings Co., Ltd.</t>
  </si>
  <si>
    <t xml:space="preserve">4626 JP / TSE Prime</t>
  </si>
  <si>
    <t xml:space="preserve">Electronic materials (solder resist)</t>
  </si>
  <si>
    <t xml:space="preserve">KKR</t>
  </si>
  <si>
    <t xml:space="preserve">KKR US / NYSE</t>
  </si>
  <si>
    <t xml:space="preserve">TOB ¥4,750/sh — a 4.7% DISCOUNT to unaffected close; DIC (largest holder), founding-family Kowa, and Oasis funds agreed to tender/participate (42.2% combined)</t>
  </si>
  <si>
    <t xml:space="preserve">¥4,750</t>
  </si>
  <si>
    <t xml:space="preserve">≈¥4,984 (implied; 2026/03/30 close)</t>
  </si>
  <si>
    <t xml:space="preserve">≈ -4.7% (discount — highly unusual)</t>
  </si>
  <si>
    <t xml:space="preserve">For (unanimous)</t>
  </si>
  <si>
    <t xml:space="preserve">Multiple strategic proposals evaluated pre-KKR</t>
  </si>
  <si>
    <t xml:space="preserve">Yes — KKR serial Japan buyer (Topcon, Fuji Soft, Kokusai)</t>
  </si>
  <si>
    <t xml:space="preserve">Tender agreements 42.2% (DIC + Kowa + Oasis)</t>
  </si>
  <si>
    <t xml:space="preserve">Foreign antitrust (China exposure) (TBV)</t>
  </si>
  <si>
    <t xml:space="preserve">FIEA TOB; long gap to launch (~Oct 2026) = regulatory prep; new 30% mandatory-TOB regime (eff. 2026/05/01) backdrop</t>
  </si>
  <si>
    <t xml:space="preserve">Discount take-private tests minority protections — stock had run on AI-materials speculation; activist (Oasis) selling into discount raises 'private deal for insiders' critique</t>
  </si>
  <si>
    <t xml:space="preserve">Oasis Management (holder, tender agreement)</t>
  </si>
  <si>
    <t xml:space="preserve">Pending — TOB from ~Oct 2026</t>
  </si>
  <si>
    <t xml:space="preserve">Expected 2027 (TBV)</t>
  </si>
  <si>
    <t xml:space="preserve">Verified via search (announced 2026/03/31)</t>
  </si>
  <si>
    <t xml:space="preserve">Watch for interloper/bump given discount pricing</t>
  </si>
  <si>
    <t xml:space="preserve">JP-061</t>
  </si>
  <si>
    <t xml:space="preserve">Strategic acquisition proposal (semis)</t>
  </si>
  <si>
    <t xml:space="preserve">In progress (proposal stage)</t>
  </si>
  <si>
    <t xml:space="preserve">ROHM Co., Ltd.</t>
  </si>
  <si>
    <t xml:space="preserve">6963 JP / TSE Prime</t>
  </si>
  <si>
    <t xml:space="preserve">Semiconductors (power/analog)</t>
  </si>
  <si>
    <t xml:space="preserve">DENSO Corporation</t>
  </si>
  <si>
    <t xml:space="preserve">TSE Prime (6902)</t>
  </si>
  <si>
    <t xml:space="preserve">≈¥1.25tn equiv. (reported)</t>
  </si>
  <si>
    <t xml:space="preserve">Acquisition offer received/confirmed by ROHM (terms under negotiation; reported ~$8.3bn)</t>
  </si>
  <si>
    <t xml:space="preserve">Under review (special committee expected)</t>
  </si>
  <si>
    <t xml:space="preserve">Expected (TBV)</t>
  </si>
  <si>
    <t xml:space="preserve">TBV (SiC consolidation logic may attract others)</t>
  </si>
  <si>
    <t xml:space="preserve">No (existing SiC partnership &amp; cross-investment)</t>
  </si>
  <si>
    <t xml:space="preserve">Small cross-holdings (TBV)</t>
  </si>
  <si>
    <t xml:space="preserve">China SAMR (auto semis) (TBV)</t>
  </si>
  <si>
    <t xml:space="preserve">Other antitrust</t>
  </si>
  <si>
    <t xml:space="preserve">FIEA (if TOB); merger control; economic-security overlay on SiC power semis</t>
  </si>
  <si>
    <t xml:space="preserve">Toyota-group vertical integration of power semiconductors; ROHM founder-foundation ownership; premium expectations after Toyota Industries precedent</t>
  </si>
  <si>
    <t xml:space="preserve">Pending negotiation (as of Jun 2026)</t>
  </si>
  <si>
    <t xml:space="preserve">Verified via search (reported late Mar 2026); date approximate</t>
  </si>
  <si>
    <t xml:space="preserve">Confirm definitive terms before publication</t>
  </si>
  <si>
    <t xml:space="preserve">JP-062</t>
  </si>
  <si>
    <t xml:space="preserve">MBO/PE take-private</t>
  </si>
  <si>
    <t xml:space="preserve">In progress (TBV)</t>
  </si>
  <si>
    <t xml:space="preserve">MCJ Co., Ltd.</t>
  </si>
  <si>
    <t xml:space="preserve">6670 JP / TSE Standard</t>
  </si>
  <si>
    <t xml:space="preserve">PCs (Mouse Computer) / electronics retail</t>
  </si>
  <si>
    <t xml:space="preserve">≈¥200bn equiv.</t>
  </si>
  <si>
    <t xml:space="preserve">Take-private (founder/management dynamics TBV)</t>
  </si>
  <si>
    <t xml:space="preserve">Founder Takashima ~29% (TBV)</t>
  </si>
  <si>
    <t xml:space="preserve">Low — announce date/terms TBV (per Bain/DealStreetAsia reference)</t>
  </si>
  <si>
    <t xml:space="preserve">Verify all fields</t>
  </si>
  <si>
    <t xml:space="preserve">SUMMARY</t>
  </si>
  <si>
    <t xml:space="preserve">Deals/situations in masterfile</t>
  </si>
  <si>
    <t xml:space="preserve">Failed / withdrawn / lapsed</t>
  </si>
  <si>
    <t xml:space="preserve">Aggregate disclosed deal size, US$ mn (numeric rows only)</t>
  </si>
  <si>
    <t xml:space="preserve">Verified via web (Jul 2026)</t>
  </si>
  <si>
    <t xml:space="preserve">Medium / Low — verify before publication</t>
  </si>
  <si>
    <t xml:space="preserve">Situation</t>
  </si>
  <si>
    <t xml:space="preserve">Status / Description</t>
  </si>
  <si>
    <t xml:space="preserve">Action Required</t>
  </si>
  <si>
    <t xml:space="preserve">Kakaku.com, Inc. (2371 JP)</t>
  </si>
  <si>
    <t xml:space="preserve">Competing take-private interest: EQT vs Bain Capital + LY Corp consortium; bidding contest ongoing as of mid-2026</t>
  </si>
  <si>
    <t xml:space="preserve">Internet media/price comparison</t>
  </si>
  <si>
    <t xml:space="preserve">TBV — no verified definitive agreement in hand; track for masterfile promotion</t>
  </si>
  <si>
    <t xml:space="preserve">TEPCO Holdings (9501 JP)</t>
  </si>
  <si>
    <t xml:space="preserve">Reported talks with JIP, KKR, Blackstone, GIP re privatization/investment structures (press reports, 2026)</t>
  </si>
  <si>
    <t xml:space="preserve">Electric utility</t>
  </si>
  <si>
    <t xml:space="preserve">Rumor-stage; nuclear/government ownership makes structure speculative</t>
  </si>
  <si>
    <t xml:space="preserve">Trend Micro (4704 JP)</t>
  </si>
  <si>
    <t xml:space="preserve">Bain-led consortium take-private interest reported 2024-25; no confirmed deal</t>
  </si>
  <si>
    <t xml:space="preserve">Cybersecurity</t>
  </si>
  <si>
    <t xml:space="preserve">Rumor-stage</t>
  </si>
  <si>
    <t xml:space="preserve">Bain Capital / FineToday (from CVC)</t>
  </si>
  <si>
    <t xml:space="preserve">Secondary buyout reported 2026 (~$? TBV)</t>
  </si>
  <si>
    <t xml:space="preserve">Personal care</t>
  </si>
  <si>
    <t xml:space="preserve">Private-to-private; confirm size/terms</t>
  </si>
  <si>
    <t xml:space="preserve">Jamco Corporation (7408 JP)</t>
  </si>
  <si>
    <t xml:space="preserve">Bain Capital TOB reported announced ~Feb 2025 (~¥90-100bn) — verify and promote to masterfile</t>
  </si>
  <si>
    <t xml:space="preserve">Aircraft interiors</t>
  </si>
  <si>
    <t xml:space="preserve">High probability genuine; all fields TBV</t>
  </si>
  <si>
    <t xml:space="preserve">Meiji Yasuda / Legal &amp; General US protection business</t>
  </si>
  <si>
    <t xml:space="preserve">US$2.3bn announced Feb 2025 (outbound insurance)</t>
  </si>
  <si>
    <t xml:space="preserve">Life insurance</t>
  </si>
  <si>
    <t xml:space="preserve">Verify terms; promote to masterfile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</si>
</sst>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#,##0"/>
    <numFmt numFmtId="167" formatCode="#,##0.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2E5B9F"/>
      <name val="Arial"/>
      <family val="0"/>
      <charset val="1"/>
    </font>
    <font>
      <sz val="9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B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22.3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32.8" hidden="false" customHeight="false" outlineLevel="0" collapsed="false">
      <c r="B5" s="3" t="s">
        <v>3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4" t="s">
        <v>4</v>
      </c>
    </row>
    <row r="8" customFormat="false" ht="32.8" hidden="false" customHeight="false" outlineLevel="0" collapsed="false">
      <c r="B8" s="3" t="s">
        <v>5</v>
      </c>
    </row>
    <row r="9" customFormat="false" ht="45.5" hidden="false" customHeight="false" outlineLevel="0" collapsed="false">
      <c r="B9" s="3" t="s">
        <v>6</v>
      </c>
    </row>
    <row r="10" customFormat="false" ht="22.3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43.2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53.7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4" t="s">
        <v>19</v>
      </c>
    </row>
    <row r="26" customFormat="false" ht="85.0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21</v>
      </c>
    </row>
    <row r="29" customFormat="false" ht="32.8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23</v>
      </c>
    </row>
    <row r="32" customFormat="false" ht="32.8" hidden="false" customHeight="false" outlineLevel="0" collapsed="false">
      <c r="B32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48"/>
    <col collapsed="false" customWidth="true" hidden="false" outlineLevel="0" max="15" min="15" style="0" width="16"/>
    <col collapsed="false" customWidth="true" hidden="false" outlineLevel="0" max="16" min="16" style="0" width="26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19" min="19" style="0" width="30"/>
    <col collapsed="false" customWidth="true" hidden="false" outlineLevel="0" max="20" min="20" style="0" width="16"/>
    <col collapsed="false" customWidth="true" hidden="false" outlineLevel="0" max="21" min="21" style="0" width="34"/>
    <col collapsed="false" customWidth="true" hidden="false" outlineLevel="0" max="22" min="22" style="0" width="22"/>
    <col collapsed="false" customWidth="true" hidden="false" outlineLevel="0" max="23" min="23" style="0" width="30"/>
    <col collapsed="false" customWidth="true" hidden="false" outlineLevel="0" max="24" min="24" style="0" width="22"/>
    <col collapsed="false" customWidth="true" hidden="false" outlineLevel="0" max="25" min="25" style="0" width="26"/>
    <col collapsed="false" customWidth="true" hidden="false" outlineLevel="0" max="26" min="26" style="0" width="22"/>
    <col collapsed="false" customWidth="true" hidden="false" outlineLevel="0" max="27" min="27" style="0" width="44"/>
    <col collapsed="false" customWidth="true" hidden="false" outlineLevel="0" max="28" min="28" style="0" width="52"/>
    <col collapsed="false" customWidth="true" hidden="false" outlineLevel="0" max="29" min="29" style="0" width="36"/>
    <col collapsed="false" customWidth="true" hidden="false" outlineLevel="0" max="30" min="30" style="0" width="40"/>
    <col collapsed="false" customWidth="true" hidden="false" outlineLevel="0" max="31" min="31" style="0" width="22"/>
    <col collapsed="false" customWidth="true" hidden="false" outlineLevel="0" max="32" min="32" style="0" width="14"/>
    <col collapsed="false" customWidth="true" hidden="false" outlineLevel="0" max="33" min="33" style="0" width="26"/>
    <col collapsed="false" customWidth="true" hidden="false" outlineLevel="0" max="34" min="34" style="0" width="34"/>
  </cols>
  <sheetData>
    <row r="1" customFormat="false" ht="42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</row>
    <row r="2" customFormat="false" ht="43.25" hidden="false" customHeight="false" outlineLevel="0" collapsed="false">
      <c r="A2" s="6" t="s">
        <v>59</v>
      </c>
      <c r="B2" s="6" t="s">
        <v>60</v>
      </c>
      <c r="C2" s="7" t="n">
        <v>45008</v>
      </c>
      <c r="D2" s="7" t="n">
        <v>45280</v>
      </c>
      <c r="E2" s="6" t="n">
        <f aca="false">IF(AND(ISNUMBER(C2),ISNUMBER(D2)),ROUND((D2-C2)/30.44,1),"")</f>
        <v>8.9</v>
      </c>
      <c r="F2" s="8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9" t="n">
        <v>13500</v>
      </c>
      <c r="M2" s="10" t="n">
        <v>2000</v>
      </c>
      <c r="N2" s="6" t="s">
        <v>67</v>
      </c>
      <c r="O2" s="6" t="s">
        <v>68</v>
      </c>
      <c r="P2" s="6" t="s">
        <v>69</v>
      </c>
      <c r="Q2" s="11" t="s">
        <v>70</v>
      </c>
      <c r="R2" s="11" t="s">
        <v>71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77</v>
      </c>
      <c r="Y2" s="6" t="s">
        <v>78</v>
      </c>
      <c r="Z2" s="6" t="s">
        <v>79</v>
      </c>
      <c r="AA2" s="6" t="s">
        <v>80</v>
      </c>
      <c r="AB2" s="6" t="s">
        <v>81</v>
      </c>
      <c r="AC2" s="6" t="s">
        <v>82</v>
      </c>
      <c r="AD2" s="6" t="s">
        <v>83</v>
      </c>
      <c r="AE2" s="6" t="s">
        <v>84</v>
      </c>
      <c r="AF2" s="6" t="s">
        <v>85</v>
      </c>
      <c r="AG2" s="6" t="s">
        <v>86</v>
      </c>
      <c r="AH2" s="6" t="s">
        <v>87</v>
      </c>
    </row>
    <row r="3" customFormat="false" ht="43.25" hidden="false" customHeight="false" outlineLevel="0" collapsed="false">
      <c r="A3" s="6" t="s">
        <v>88</v>
      </c>
      <c r="B3" s="6" t="s">
        <v>89</v>
      </c>
      <c r="C3" s="7" t="n">
        <v>45103</v>
      </c>
      <c r="D3" s="7" t="n">
        <v>45468</v>
      </c>
      <c r="E3" s="6" t="n">
        <f aca="false">IF(AND(ISNUMBER(C3),ISNUMBER(D3)),ROUND((D3-C3)/30.44,1),"")</f>
        <v>12</v>
      </c>
      <c r="F3" s="8" t="s">
        <v>61</v>
      </c>
      <c r="G3" s="6" t="s">
        <v>90</v>
      </c>
      <c r="H3" s="6" t="s">
        <v>91</v>
      </c>
      <c r="I3" s="6" t="s">
        <v>92</v>
      </c>
      <c r="J3" s="6" t="s">
        <v>93</v>
      </c>
      <c r="K3" s="6" t="s">
        <v>94</v>
      </c>
      <c r="L3" s="9" t="n">
        <v>6300</v>
      </c>
      <c r="M3" s="10" t="n">
        <v>903.9</v>
      </c>
      <c r="N3" s="6" t="s">
        <v>95</v>
      </c>
      <c r="O3" s="6" t="s">
        <v>96</v>
      </c>
      <c r="P3" s="6" t="s">
        <v>97</v>
      </c>
      <c r="Q3" s="11" t="s">
        <v>98</v>
      </c>
      <c r="R3" s="11" t="s">
        <v>99</v>
      </c>
      <c r="S3" s="6" t="s">
        <v>100</v>
      </c>
      <c r="T3" s="6" t="s">
        <v>101</v>
      </c>
      <c r="U3" s="6" t="s">
        <v>102</v>
      </c>
      <c r="V3" s="6" t="s">
        <v>75</v>
      </c>
      <c r="W3" s="6" t="s">
        <v>103</v>
      </c>
      <c r="X3" s="6" t="s">
        <v>77</v>
      </c>
      <c r="Y3" s="6" t="s">
        <v>104</v>
      </c>
      <c r="Z3" s="6" t="s">
        <v>105</v>
      </c>
      <c r="AA3" s="6" t="s">
        <v>106</v>
      </c>
      <c r="AB3" s="6" t="s">
        <v>107</v>
      </c>
      <c r="AC3" s="6" t="s">
        <v>108</v>
      </c>
      <c r="AD3" s="11" t="s">
        <v>109</v>
      </c>
      <c r="AE3" s="6" t="s">
        <v>110</v>
      </c>
      <c r="AF3" s="11" t="s">
        <v>111</v>
      </c>
      <c r="AG3" s="6" t="s">
        <v>112</v>
      </c>
      <c r="AH3" s="6" t="s">
        <v>113</v>
      </c>
    </row>
    <row r="4" customFormat="false" ht="43.25" hidden="false" customHeight="false" outlineLevel="0" collapsed="false">
      <c r="A4" s="6" t="s">
        <v>114</v>
      </c>
      <c r="B4" s="6" t="s">
        <v>115</v>
      </c>
      <c r="C4" s="7" t="n">
        <v>45058</v>
      </c>
      <c r="D4" s="7" t="n">
        <v>45197</v>
      </c>
      <c r="E4" s="6" t="n">
        <f aca="false">IF(AND(ISNUMBER(C4),ISNUMBER(D4)),ROUND((D4-C4)/30.44,1),"")</f>
        <v>4.6</v>
      </c>
      <c r="F4" s="8" t="s">
        <v>61</v>
      </c>
      <c r="G4" s="6" t="s">
        <v>116</v>
      </c>
      <c r="H4" s="6" t="s">
        <v>117</v>
      </c>
      <c r="I4" s="6" t="s">
        <v>118</v>
      </c>
      <c r="J4" s="6" t="s">
        <v>119</v>
      </c>
      <c r="K4" s="6" t="s">
        <v>120</v>
      </c>
      <c r="L4" s="9" t="n">
        <v>1100</v>
      </c>
      <c r="M4" s="10" t="n">
        <v>154.2</v>
      </c>
      <c r="N4" s="6" t="s">
        <v>121</v>
      </c>
      <c r="O4" s="6" t="s">
        <v>122</v>
      </c>
      <c r="P4" s="11" t="s">
        <v>123</v>
      </c>
      <c r="Q4" s="11" t="s">
        <v>123</v>
      </c>
      <c r="R4" s="11" t="s">
        <v>124</v>
      </c>
      <c r="S4" s="6" t="s">
        <v>100</v>
      </c>
      <c r="T4" s="6" t="s">
        <v>101</v>
      </c>
      <c r="U4" s="6" t="s">
        <v>103</v>
      </c>
      <c r="V4" s="6" t="s">
        <v>125</v>
      </c>
      <c r="W4" s="6" t="s">
        <v>126</v>
      </c>
      <c r="X4" s="6" t="s">
        <v>127</v>
      </c>
      <c r="Y4" s="6" t="s">
        <v>128</v>
      </c>
      <c r="Z4" s="6" t="s">
        <v>129</v>
      </c>
      <c r="AA4" s="6" t="s">
        <v>130</v>
      </c>
      <c r="AB4" s="6" t="s">
        <v>131</v>
      </c>
      <c r="AC4" s="11" t="s">
        <v>132</v>
      </c>
      <c r="AD4" s="6" t="s">
        <v>133</v>
      </c>
      <c r="AE4" s="6" t="s">
        <v>110</v>
      </c>
      <c r="AF4" s="11" t="s">
        <v>134</v>
      </c>
      <c r="AG4" s="6" t="s">
        <v>135</v>
      </c>
      <c r="AH4" s="6" t="s">
        <v>136</v>
      </c>
    </row>
    <row r="5" customFormat="false" ht="43.25" hidden="false" customHeight="false" outlineLevel="0" collapsed="false">
      <c r="A5" s="6" t="s">
        <v>137</v>
      </c>
      <c r="B5" s="6" t="s">
        <v>138</v>
      </c>
      <c r="C5" s="7" t="n">
        <v>45120</v>
      </c>
      <c r="D5" s="7" t="n">
        <v>45243</v>
      </c>
      <c r="E5" s="6" t="n">
        <f aca="false">IF(AND(ISNUMBER(C5),ISNUMBER(D5)),ROUND((D5-C5)/30.44,1),"")</f>
        <v>4</v>
      </c>
      <c r="F5" s="8" t="s">
        <v>61</v>
      </c>
      <c r="G5" s="6" t="s">
        <v>139</v>
      </c>
      <c r="H5" s="6" t="s">
        <v>140</v>
      </c>
      <c r="I5" s="6" t="s">
        <v>141</v>
      </c>
      <c r="J5" s="6" t="s">
        <v>142</v>
      </c>
      <c r="K5" s="6" t="s">
        <v>143</v>
      </c>
      <c r="L5" s="9" t="n">
        <v>180</v>
      </c>
      <c r="M5" s="10" t="n">
        <v>26</v>
      </c>
      <c r="N5" s="6" t="s">
        <v>144</v>
      </c>
      <c r="O5" s="6" t="s">
        <v>145</v>
      </c>
      <c r="P5" s="6" t="s">
        <v>146</v>
      </c>
      <c r="Q5" s="11" t="s">
        <v>147</v>
      </c>
      <c r="R5" s="11" t="s">
        <v>148</v>
      </c>
      <c r="S5" s="6" t="s">
        <v>149</v>
      </c>
      <c r="T5" s="6" t="s">
        <v>150</v>
      </c>
      <c r="U5" s="6" t="s">
        <v>151</v>
      </c>
      <c r="V5" s="6" t="s">
        <v>152</v>
      </c>
      <c r="W5" s="6" t="s">
        <v>103</v>
      </c>
      <c r="X5" s="6" t="s">
        <v>128</v>
      </c>
      <c r="Y5" s="6" t="s">
        <v>129</v>
      </c>
      <c r="Z5" s="6" t="s">
        <v>129</v>
      </c>
      <c r="AA5" s="6" t="s">
        <v>153</v>
      </c>
      <c r="AB5" s="6" t="s">
        <v>154</v>
      </c>
      <c r="AC5" s="6" t="s">
        <v>155</v>
      </c>
      <c r="AD5" s="6" t="s">
        <v>156</v>
      </c>
      <c r="AE5" s="6" t="s">
        <v>110</v>
      </c>
      <c r="AF5" s="11" t="s">
        <v>157</v>
      </c>
      <c r="AG5" s="6" t="s">
        <v>158</v>
      </c>
      <c r="AH5" s="6" t="s">
        <v>159</v>
      </c>
    </row>
    <row r="6" customFormat="false" ht="32.8" hidden="false" customHeight="false" outlineLevel="0" collapsed="false">
      <c r="A6" s="6" t="s">
        <v>160</v>
      </c>
      <c r="B6" s="6" t="s">
        <v>161</v>
      </c>
      <c r="C6" s="7" t="n">
        <v>44876</v>
      </c>
      <c r="D6" s="7" t="n">
        <v>45170</v>
      </c>
      <c r="E6" s="6" t="n">
        <f aca="false">IF(AND(ISNUMBER(C6),ISNUMBER(D6)),ROUND((D6-C6)/30.44,1),"")</f>
        <v>9.7</v>
      </c>
      <c r="F6" s="8" t="s">
        <v>61</v>
      </c>
      <c r="G6" s="6" t="s">
        <v>162</v>
      </c>
      <c r="H6" s="6" t="s">
        <v>163</v>
      </c>
      <c r="I6" s="6" t="s">
        <v>164</v>
      </c>
      <c r="J6" s="6" t="s">
        <v>165</v>
      </c>
      <c r="K6" s="6" t="s">
        <v>166</v>
      </c>
      <c r="L6" s="9" t="n">
        <v>1600</v>
      </c>
      <c r="M6" s="10" t="n">
        <v>220</v>
      </c>
      <c r="N6" s="6" t="s">
        <v>167</v>
      </c>
      <c r="O6" s="6" t="s">
        <v>168</v>
      </c>
      <c r="P6" s="6" t="s">
        <v>169</v>
      </c>
      <c r="Q6" s="6" t="s">
        <v>169</v>
      </c>
      <c r="R6" s="6" t="s">
        <v>169</v>
      </c>
      <c r="S6" s="6" t="s">
        <v>170</v>
      </c>
      <c r="T6" s="6" t="s">
        <v>171</v>
      </c>
      <c r="U6" s="6" t="s">
        <v>172</v>
      </c>
      <c r="V6" s="6" t="s">
        <v>75</v>
      </c>
      <c r="W6" s="6" t="s">
        <v>169</v>
      </c>
      <c r="X6" s="6" t="s">
        <v>128</v>
      </c>
      <c r="Y6" s="6" t="s">
        <v>129</v>
      </c>
      <c r="Z6" s="6" t="s">
        <v>129</v>
      </c>
      <c r="AA6" s="6" t="s">
        <v>173</v>
      </c>
      <c r="AB6" s="6" t="s">
        <v>174</v>
      </c>
      <c r="AC6" s="6" t="s">
        <v>175</v>
      </c>
      <c r="AD6" s="6" t="s">
        <v>176</v>
      </c>
      <c r="AE6" s="6" t="s">
        <v>169</v>
      </c>
      <c r="AF6" s="6" t="s">
        <v>169</v>
      </c>
      <c r="AG6" s="6" t="s">
        <v>158</v>
      </c>
      <c r="AH6" s="6" t="s">
        <v>177</v>
      </c>
    </row>
    <row r="7" customFormat="false" ht="32.8" hidden="false" customHeight="false" outlineLevel="0" collapsed="false">
      <c r="A7" s="6" t="s">
        <v>178</v>
      </c>
      <c r="B7" s="6" t="s">
        <v>179</v>
      </c>
      <c r="C7" s="7" t="n">
        <v>45244</v>
      </c>
      <c r="D7" s="7" t="n">
        <v>45427</v>
      </c>
      <c r="E7" s="6" t="n">
        <f aca="false">IF(AND(ISNUMBER(C7),ISNUMBER(D7)),ROUND((D7-C7)/30.44,1),"")</f>
        <v>6</v>
      </c>
      <c r="F7" s="8" t="s">
        <v>61</v>
      </c>
      <c r="G7" s="6" t="s">
        <v>180</v>
      </c>
      <c r="H7" s="6" t="s">
        <v>181</v>
      </c>
      <c r="I7" s="6" t="s">
        <v>182</v>
      </c>
      <c r="J7" s="6" t="s">
        <v>183</v>
      </c>
      <c r="K7" s="6" t="s">
        <v>184</v>
      </c>
      <c r="L7" s="9" t="n">
        <v>1900</v>
      </c>
      <c r="M7" s="10" t="n">
        <v>285</v>
      </c>
      <c r="N7" s="6" t="s">
        <v>185</v>
      </c>
      <c r="O7" s="6" t="s">
        <v>186</v>
      </c>
      <c r="P7" s="6" t="s">
        <v>187</v>
      </c>
      <c r="Q7" s="11" t="s">
        <v>123</v>
      </c>
      <c r="R7" s="11" t="s">
        <v>188</v>
      </c>
      <c r="S7" s="6" t="s">
        <v>189</v>
      </c>
      <c r="T7" s="6" t="s">
        <v>101</v>
      </c>
      <c r="U7" s="6" t="s">
        <v>190</v>
      </c>
      <c r="V7" s="6" t="s">
        <v>75</v>
      </c>
      <c r="W7" s="6" t="s">
        <v>191</v>
      </c>
      <c r="X7" s="6" t="s">
        <v>128</v>
      </c>
      <c r="Y7" s="6" t="s">
        <v>192</v>
      </c>
      <c r="Z7" s="6" t="s">
        <v>129</v>
      </c>
      <c r="AA7" s="6" t="s">
        <v>193</v>
      </c>
      <c r="AB7" s="6" t="s">
        <v>194</v>
      </c>
      <c r="AC7" s="6" t="s">
        <v>195</v>
      </c>
      <c r="AD7" s="11" t="s">
        <v>196</v>
      </c>
      <c r="AE7" s="6" t="s">
        <v>110</v>
      </c>
      <c r="AF7" s="11" t="s">
        <v>157</v>
      </c>
      <c r="AG7" s="6" t="s">
        <v>197</v>
      </c>
      <c r="AH7" s="6" t="s">
        <v>198</v>
      </c>
    </row>
    <row r="8" customFormat="false" ht="32.8" hidden="false" customHeight="false" outlineLevel="0" collapsed="false">
      <c r="A8" s="6" t="s">
        <v>199</v>
      </c>
      <c r="B8" s="6" t="s">
        <v>200</v>
      </c>
      <c r="C8" s="7" t="n">
        <v>45254</v>
      </c>
      <c r="D8" s="7" t="n">
        <v>45391</v>
      </c>
      <c r="E8" s="6" t="n">
        <f aca="false">IF(AND(ISNUMBER(C8),ISNUMBER(D8)),ROUND((D8-C8)/30.44,1),"")</f>
        <v>4.5</v>
      </c>
      <c r="F8" s="8" t="s">
        <v>61</v>
      </c>
      <c r="G8" s="6" t="s">
        <v>201</v>
      </c>
      <c r="H8" s="6" t="s">
        <v>202</v>
      </c>
      <c r="I8" s="6" t="s">
        <v>203</v>
      </c>
      <c r="J8" s="6" t="s">
        <v>204</v>
      </c>
      <c r="K8" s="6" t="s">
        <v>205</v>
      </c>
      <c r="L8" s="9" t="n">
        <v>4800</v>
      </c>
      <c r="M8" s="10" t="n">
        <v>710.9</v>
      </c>
      <c r="N8" s="6" t="s">
        <v>206</v>
      </c>
      <c r="O8" s="6" t="s">
        <v>207</v>
      </c>
      <c r="P8" s="6" t="s">
        <v>208</v>
      </c>
      <c r="Q8" s="11" t="s">
        <v>209</v>
      </c>
      <c r="R8" s="11" t="s">
        <v>210</v>
      </c>
      <c r="S8" s="6" t="s">
        <v>100</v>
      </c>
      <c r="T8" s="6" t="s">
        <v>101</v>
      </c>
      <c r="U8" s="6" t="s">
        <v>102</v>
      </c>
      <c r="V8" s="6" t="s">
        <v>75</v>
      </c>
      <c r="W8" s="11" t="s">
        <v>211</v>
      </c>
      <c r="X8" s="6" t="s">
        <v>128</v>
      </c>
      <c r="Y8" s="6" t="s">
        <v>129</v>
      </c>
      <c r="Z8" s="6" t="s">
        <v>129</v>
      </c>
      <c r="AA8" s="6" t="s">
        <v>212</v>
      </c>
      <c r="AB8" s="6" t="s">
        <v>213</v>
      </c>
      <c r="AC8" s="11" t="s">
        <v>214</v>
      </c>
      <c r="AD8" s="11" t="s">
        <v>215</v>
      </c>
      <c r="AE8" s="6" t="s">
        <v>110</v>
      </c>
      <c r="AF8" s="11" t="s">
        <v>216</v>
      </c>
      <c r="AG8" s="6" t="s">
        <v>217</v>
      </c>
      <c r="AH8" s="6" t="s">
        <v>218</v>
      </c>
    </row>
    <row r="9" customFormat="false" ht="22.35" hidden="false" customHeight="false" outlineLevel="0" collapsed="false">
      <c r="A9" s="6" t="s">
        <v>219</v>
      </c>
      <c r="B9" s="6" t="s">
        <v>220</v>
      </c>
      <c r="C9" s="7" t="n">
        <v>45240</v>
      </c>
      <c r="D9" s="7" t="n">
        <v>45440</v>
      </c>
      <c r="E9" s="6" t="n">
        <f aca="false">IF(AND(ISNUMBER(C9),ISNUMBER(D9)),ROUND((D9-C9)/30.44,1),"")</f>
        <v>6.6</v>
      </c>
      <c r="F9" s="8" t="s">
        <v>61</v>
      </c>
      <c r="G9" s="6" t="s">
        <v>221</v>
      </c>
      <c r="H9" s="6" t="s">
        <v>222</v>
      </c>
      <c r="I9" s="6" t="s">
        <v>223</v>
      </c>
      <c r="J9" s="6" t="s">
        <v>224</v>
      </c>
      <c r="K9" s="6" t="s">
        <v>225</v>
      </c>
      <c r="L9" s="9" t="n">
        <v>1400</v>
      </c>
      <c r="M9" s="10" t="n">
        <v>208.2</v>
      </c>
      <c r="N9" s="6" t="s">
        <v>226</v>
      </c>
      <c r="O9" s="6" t="s">
        <v>145</v>
      </c>
      <c r="P9" s="6" t="s">
        <v>145</v>
      </c>
      <c r="Q9" s="11" t="s">
        <v>123</v>
      </c>
      <c r="R9" s="11" t="s">
        <v>227</v>
      </c>
      <c r="S9" s="6" t="s">
        <v>100</v>
      </c>
      <c r="T9" s="6" t="s">
        <v>101</v>
      </c>
      <c r="U9" s="6" t="s">
        <v>102</v>
      </c>
      <c r="V9" s="6" t="s">
        <v>75</v>
      </c>
      <c r="W9" s="11" t="s">
        <v>228</v>
      </c>
      <c r="X9" s="6" t="s">
        <v>128</v>
      </c>
      <c r="Y9" s="11" t="s">
        <v>229</v>
      </c>
      <c r="Z9" s="6" t="s">
        <v>129</v>
      </c>
      <c r="AA9" s="6" t="s">
        <v>230</v>
      </c>
      <c r="AB9" s="6" t="s">
        <v>231</v>
      </c>
      <c r="AC9" s="6" t="s">
        <v>232</v>
      </c>
      <c r="AD9" s="11" t="s">
        <v>233</v>
      </c>
      <c r="AE9" s="6" t="s">
        <v>110</v>
      </c>
      <c r="AF9" s="11" t="s">
        <v>234</v>
      </c>
      <c r="AG9" s="6" t="s">
        <v>235</v>
      </c>
      <c r="AH9" s="6"/>
    </row>
    <row r="10" customFormat="false" ht="32.8" hidden="false" customHeight="false" outlineLevel="0" collapsed="false">
      <c r="A10" s="6" t="s">
        <v>236</v>
      </c>
      <c r="B10" s="6" t="s">
        <v>237</v>
      </c>
      <c r="C10" s="7" t="n">
        <v>45268</v>
      </c>
      <c r="D10" s="6"/>
      <c r="E10" s="6" t="str">
        <f aca="false">IF(AND(ISNUMBER(C10),ISNUMBER(D10)),ROUND((D10-C10)/30.44,1),"")</f>
        <v/>
      </c>
      <c r="F10" s="8" t="s">
        <v>61</v>
      </c>
      <c r="G10" s="6" t="s">
        <v>238</v>
      </c>
      <c r="H10" s="6" t="s">
        <v>239</v>
      </c>
      <c r="I10" s="6" t="s">
        <v>240</v>
      </c>
      <c r="J10" s="6" t="s">
        <v>241</v>
      </c>
      <c r="K10" s="6" t="s">
        <v>242</v>
      </c>
      <c r="L10" s="9" t="n">
        <v>1500</v>
      </c>
      <c r="M10" s="10" t="n">
        <v>214.2</v>
      </c>
      <c r="N10" s="6" t="s">
        <v>243</v>
      </c>
      <c r="O10" s="6" t="s">
        <v>244</v>
      </c>
      <c r="P10" s="6" t="s">
        <v>244</v>
      </c>
      <c r="Q10" s="11" t="s">
        <v>123</v>
      </c>
      <c r="R10" s="11" t="s">
        <v>245</v>
      </c>
      <c r="S10" s="6" t="s">
        <v>100</v>
      </c>
      <c r="T10" s="6" t="s">
        <v>101</v>
      </c>
      <c r="U10" s="6" t="s">
        <v>102</v>
      </c>
      <c r="V10" s="6" t="s">
        <v>75</v>
      </c>
      <c r="W10" s="11" t="s">
        <v>246</v>
      </c>
      <c r="X10" s="6" t="s">
        <v>128</v>
      </c>
      <c r="Y10" s="6" t="s">
        <v>247</v>
      </c>
      <c r="Z10" s="6" t="s">
        <v>248</v>
      </c>
      <c r="AA10" s="6" t="s">
        <v>249</v>
      </c>
      <c r="AB10" s="6" t="s">
        <v>250</v>
      </c>
      <c r="AC10" s="6" t="s">
        <v>232</v>
      </c>
      <c r="AD10" s="11" t="s">
        <v>251</v>
      </c>
      <c r="AE10" s="6" t="s">
        <v>110</v>
      </c>
      <c r="AF10" s="11" t="s">
        <v>157</v>
      </c>
      <c r="AG10" s="6" t="s">
        <v>252</v>
      </c>
      <c r="AH10" s="6" t="s">
        <v>253</v>
      </c>
    </row>
    <row r="11" customFormat="false" ht="22.35" hidden="false" customHeight="false" outlineLevel="0" collapsed="false">
      <c r="A11" s="6" t="s">
        <v>254</v>
      </c>
      <c r="B11" s="6" t="s">
        <v>255</v>
      </c>
      <c r="C11" s="7" t="n">
        <v>45272</v>
      </c>
      <c r="D11" s="7" t="n">
        <v>45688</v>
      </c>
      <c r="E11" s="6" t="n">
        <f aca="false">IF(AND(ISNUMBER(C11),ISNUMBER(D11)),ROUND((D11-C11)/30.44,1),"")</f>
        <v>13.7</v>
      </c>
      <c r="F11" s="8" t="s">
        <v>61</v>
      </c>
      <c r="G11" s="6" t="s">
        <v>256</v>
      </c>
      <c r="H11" s="6" t="s">
        <v>257</v>
      </c>
      <c r="I11" s="6" t="s">
        <v>258</v>
      </c>
      <c r="J11" s="6" t="s">
        <v>259</v>
      </c>
      <c r="K11" s="6" t="s">
        <v>260</v>
      </c>
      <c r="L11" s="9" t="n">
        <v>4700</v>
      </c>
      <c r="M11" s="10" t="n">
        <v>684.9</v>
      </c>
      <c r="N11" s="6" t="s">
        <v>261</v>
      </c>
      <c r="O11" s="6" t="s">
        <v>262</v>
      </c>
      <c r="P11" s="6" t="s">
        <v>262</v>
      </c>
      <c r="Q11" s="11" t="s">
        <v>123</v>
      </c>
      <c r="R11" s="11" t="s">
        <v>123</v>
      </c>
      <c r="S11" s="6" t="s">
        <v>100</v>
      </c>
      <c r="T11" s="6" t="s">
        <v>101</v>
      </c>
      <c r="U11" s="6" t="s">
        <v>102</v>
      </c>
      <c r="V11" s="6" t="s">
        <v>75</v>
      </c>
      <c r="W11" s="6" t="s">
        <v>263</v>
      </c>
      <c r="X11" s="6" t="s">
        <v>128</v>
      </c>
      <c r="Y11" s="6" t="s">
        <v>264</v>
      </c>
      <c r="Z11" s="6" t="s">
        <v>265</v>
      </c>
      <c r="AA11" s="6" t="s">
        <v>266</v>
      </c>
      <c r="AB11" s="6" t="s">
        <v>267</v>
      </c>
      <c r="AC11" s="6" t="s">
        <v>232</v>
      </c>
      <c r="AD11" s="11" t="s">
        <v>268</v>
      </c>
      <c r="AE11" s="6" t="s">
        <v>110</v>
      </c>
      <c r="AF11" s="11" t="s">
        <v>269</v>
      </c>
      <c r="AG11" s="6" t="s">
        <v>270</v>
      </c>
      <c r="AH11" s="6" t="s">
        <v>271</v>
      </c>
    </row>
    <row r="12" customFormat="false" ht="43.25" hidden="false" customHeight="false" outlineLevel="0" collapsed="false">
      <c r="A12" s="6" t="s">
        <v>272</v>
      </c>
      <c r="B12" s="6" t="s">
        <v>273</v>
      </c>
      <c r="C12" s="7" t="n">
        <v>45278</v>
      </c>
      <c r="D12" s="7" t="n">
        <v>45826</v>
      </c>
      <c r="E12" s="6" t="n">
        <f aca="false">IF(AND(ISNUMBER(C12),ISNUMBER(D12)),ROUND((D12-C12)/30.44,1),"")</f>
        <v>18</v>
      </c>
      <c r="F12" s="8" t="s">
        <v>61</v>
      </c>
      <c r="G12" s="6" t="s">
        <v>274</v>
      </c>
      <c r="H12" s="6" t="s">
        <v>275</v>
      </c>
      <c r="I12" s="6" t="s">
        <v>276</v>
      </c>
      <c r="J12" s="6" t="s">
        <v>277</v>
      </c>
      <c r="K12" s="6" t="s">
        <v>278</v>
      </c>
      <c r="L12" s="9" t="n">
        <v>14900</v>
      </c>
      <c r="M12" s="6" t="s">
        <v>279</v>
      </c>
      <c r="N12" s="6" t="s">
        <v>280</v>
      </c>
      <c r="O12" s="6" t="s">
        <v>281</v>
      </c>
      <c r="P12" s="6" t="s">
        <v>282</v>
      </c>
      <c r="Q12" s="6" t="s">
        <v>283</v>
      </c>
      <c r="R12" s="6" t="s">
        <v>284</v>
      </c>
      <c r="S12" s="6" t="s">
        <v>285</v>
      </c>
      <c r="T12" s="6" t="s">
        <v>286</v>
      </c>
      <c r="U12" s="6" t="s">
        <v>287</v>
      </c>
      <c r="V12" s="6" t="s">
        <v>75</v>
      </c>
      <c r="W12" s="6" t="s">
        <v>103</v>
      </c>
      <c r="X12" s="6" t="s">
        <v>288</v>
      </c>
      <c r="Y12" s="6" t="s">
        <v>289</v>
      </c>
      <c r="Z12" s="6" t="s">
        <v>290</v>
      </c>
      <c r="AA12" s="6" t="s">
        <v>291</v>
      </c>
      <c r="AB12" s="6" t="s">
        <v>292</v>
      </c>
      <c r="AC12" s="6" t="s">
        <v>293</v>
      </c>
      <c r="AD12" s="6" t="s">
        <v>294</v>
      </c>
      <c r="AE12" s="6" t="s">
        <v>295</v>
      </c>
      <c r="AF12" s="6" t="s">
        <v>296</v>
      </c>
      <c r="AG12" s="6" t="s">
        <v>158</v>
      </c>
      <c r="AH12" s="6" t="s">
        <v>297</v>
      </c>
    </row>
    <row r="13" customFormat="false" ht="22.35" hidden="false" customHeight="false" outlineLevel="0" collapsed="false">
      <c r="A13" s="6" t="s">
        <v>298</v>
      </c>
      <c r="B13" s="6" t="s">
        <v>299</v>
      </c>
      <c r="C13" s="7" t="n">
        <v>44956</v>
      </c>
      <c r="D13" s="7" t="n">
        <v>44994</v>
      </c>
      <c r="E13" s="6" t="n">
        <f aca="false">IF(AND(ISNUMBER(C13),ISNUMBER(D13)),ROUND((D13-C13)/30.44,1),"")</f>
        <v>1.2</v>
      </c>
      <c r="F13" s="8" t="s">
        <v>300</v>
      </c>
      <c r="G13" s="6" t="s">
        <v>301</v>
      </c>
      <c r="H13" s="6" t="s">
        <v>302</v>
      </c>
      <c r="I13" s="6" t="s">
        <v>303</v>
      </c>
      <c r="J13" s="6" t="s">
        <v>304</v>
      </c>
      <c r="K13" s="6" t="s">
        <v>305</v>
      </c>
      <c r="L13" s="11" t="s">
        <v>306</v>
      </c>
      <c r="M13" s="11" t="s">
        <v>123</v>
      </c>
      <c r="N13" s="6" t="s">
        <v>307</v>
      </c>
      <c r="O13" s="6" t="s">
        <v>169</v>
      </c>
      <c r="P13" s="6" t="s">
        <v>169</v>
      </c>
      <c r="Q13" s="6" t="s">
        <v>169</v>
      </c>
      <c r="R13" s="6" t="s">
        <v>169</v>
      </c>
      <c r="S13" s="6" t="s">
        <v>308</v>
      </c>
      <c r="T13" s="6" t="s">
        <v>75</v>
      </c>
      <c r="U13" s="6" t="s">
        <v>169</v>
      </c>
      <c r="V13" s="6" t="s">
        <v>75</v>
      </c>
      <c r="W13" s="11" t="s">
        <v>309</v>
      </c>
      <c r="X13" s="6" t="s">
        <v>129</v>
      </c>
      <c r="Y13" s="6" t="s">
        <v>129</v>
      </c>
      <c r="Z13" s="6" t="s">
        <v>129</v>
      </c>
      <c r="AA13" s="6" t="s">
        <v>310</v>
      </c>
      <c r="AB13" s="6" t="s">
        <v>311</v>
      </c>
      <c r="AC13" s="6" t="s">
        <v>312</v>
      </c>
      <c r="AD13" s="6" t="s">
        <v>313</v>
      </c>
      <c r="AE13" s="6" t="s">
        <v>169</v>
      </c>
      <c r="AF13" s="6" t="s">
        <v>169</v>
      </c>
      <c r="AG13" s="6" t="s">
        <v>158</v>
      </c>
      <c r="AH13" s="6" t="s">
        <v>314</v>
      </c>
    </row>
    <row r="14" customFormat="false" ht="32.8" hidden="false" customHeight="false" outlineLevel="0" collapsed="false">
      <c r="A14" s="6" t="s">
        <v>315</v>
      </c>
      <c r="B14" s="6" t="s">
        <v>316</v>
      </c>
      <c r="C14" s="7" t="n">
        <v>44927</v>
      </c>
      <c r="D14" s="7" t="n">
        <v>45071</v>
      </c>
      <c r="E14" s="6" t="n">
        <f aca="false">IF(AND(ISNUMBER(C14),ISNUMBER(D14)),ROUND((D14-C14)/30.44,1),"")</f>
        <v>4.7</v>
      </c>
      <c r="F14" s="8" t="s">
        <v>317</v>
      </c>
      <c r="G14" s="6" t="s">
        <v>318</v>
      </c>
      <c r="H14" s="6" t="s">
        <v>319</v>
      </c>
      <c r="I14" s="6" t="s">
        <v>320</v>
      </c>
      <c r="J14" s="6" t="s">
        <v>321</v>
      </c>
      <c r="K14" s="6" t="s">
        <v>305</v>
      </c>
      <c r="L14" s="11" t="s">
        <v>322</v>
      </c>
      <c r="M14" s="11" t="s">
        <v>123</v>
      </c>
      <c r="N14" s="6" t="s">
        <v>323</v>
      </c>
      <c r="O14" s="6" t="s">
        <v>169</v>
      </c>
      <c r="P14" s="6" t="s">
        <v>169</v>
      </c>
      <c r="Q14" s="6" t="s">
        <v>169</v>
      </c>
      <c r="R14" s="6" t="s">
        <v>169</v>
      </c>
      <c r="S14" s="6" t="s">
        <v>324</v>
      </c>
      <c r="T14" s="6" t="s">
        <v>75</v>
      </c>
      <c r="U14" s="6" t="s">
        <v>169</v>
      </c>
      <c r="V14" s="6" t="s">
        <v>325</v>
      </c>
      <c r="W14" s="11" t="s">
        <v>326</v>
      </c>
      <c r="X14" s="6" t="s">
        <v>129</v>
      </c>
      <c r="Y14" s="6" t="s">
        <v>129</v>
      </c>
      <c r="Z14" s="6" t="s">
        <v>129</v>
      </c>
      <c r="AA14" s="6" t="s">
        <v>327</v>
      </c>
      <c r="AB14" s="6" t="s">
        <v>328</v>
      </c>
      <c r="AC14" s="6" t="s">
        <v>329</v>
      </c>
      <c r="AD14" s="6" t="s">
        <v>330</v>
      </c>
      <c r="AE14" s="6" t="s">
        <v>169</v>
      </c>
      <c r="AF14" s="6" t="s">
        <v>169</v>
      </c>
      <c r="AG14" s="6" t="s">
        <v>158</v>
      </c>
      <c r="AH14" s="6" t="s">
        <v>331</v>
      </c>
    </row>
    <row r="15" customFormat="false" ht="32.8" hidden="false" customHeight="false" outlineLevel="0" collapsed="false">
      <c r="A15" s="6" t="s">
        <v>332</v>
      </c>
      <c r="B15" s="6" t="s">
        <v>333</v>
      </c>
      <c r="C15" s="7" t="n">
        <v>45017</v>
      </c>
      <c r="D15" s="7" t="n">
        <v>45280</v>
      </c>
      <c r="E15" s="6" t="n">
        <f aca="false">IF(AND(ISNUMBER(C15),ISNUMBER(D15)),ROUND((D15-C15)/30.44,1),"")</f>
        <v>8.6</v>
      </c>
      <c r="F15" s="8" t="s">
        <v>334</v>
      </c>
      <c r="G15" s="6" t="s">
        <v>335</v>
      </c>
      <c r="H15" s="6" t="s">
        <v>336</v>
      </c>
      <c r="I15" s="6" t="s">
        <v>337</v>
      </c>
      <c r="J15" s="6" t="s">
        <v>338</v>
      </c>
      <c r="K15" s="6" t="s">
        <v>169</v>
      </c>
      <c r="L15" s="11" t="s">
        <v>339</v>
      </c>
      <c r="M15" s="11" t="s">
        <v>123</v>
      </c>
      <c r="N15" s="6" t="s">
        <v>340</v>
      </c>
      <c r="O15" s="6" t="s">
        <v>169</v>
      </c>
      <c r="P15" s="6" t="s">
        <v>169</v>
      </c>
      <c r="Q15" s="6" t="s">
        <v>169</v>
      </c>
      <c r="R15" s="6" t="s">
        <v>169</v>
      </c>
      <c r="S15" s="6" t="s">
        <v>341</v>
      </c>
      <c r="T15" s="6" t="s">
        <v>342</v>
      </c>
      <c r="U15" s="6" t="s">
        <v>169</v>
      </c>
      <c r="V15" s="6" t="s">
        <v>343</v>
      </c>
      <c r="W15" s="6" t="s">
        <v>344</v>
      </c>
      <c r="X15" s="6" t="s">
        <v>129</v>
      </c>
      <c r="Y15" s="6" t="s">
        <v>129</v>
      </c>
      <c r="Z15" s="6" t="s">
        <v>129</v>
      </c>
      <c r="AA15" s="6" t="s">
        <v>345</v>
      </c>
      <c r="AB15" s="6" t="s">
        <v>346</v>
      </c>
      <c r="AC15" s="6" t="s">
        <v>347</v>
      </c>
      <c r="AD15" s="6" t="s">
        <v>348</v>
      </c>
      <c r="AE15" s="6" t="s">
        <v>169</v>
      </c>
      <c r="AF15" s="6" t="s">
        <v>169</v>
      </c>
      <c r="AG15" s="6" t="s">
        <v>158</v>
      </c>
      <c r="AH15" s="6" t="s">
        <v>349</v>
      </c>
    </row>
    <row r="16" customFormat="false" ht="22.35" hidden="false" customHeight="false" outlineLevel="0" collapsed="false">
      <c r="A16" s="6" t="s">
        <v>350</v>
      </c>
      <c r="B16" s="6" t="s">
        <v>351</v>
      </c>
      <c r="C16" s="7" t="n">
        <v>44651</v>
      </c>
      <c r="D16" s="7" t="n">
        <v>45473</v>
      </c>
      <c r="E16" s="6" t="n">
        <f aca="false">IF(AND(ISNUMBER(C16),ISNUMBER(D16)),ROUND((D16-C16)/30.44,1),"")</f>
        <v>27</v>
      </c>
      <c r="F16" s="12" t="s">
        <v>352</v>
      </c>
      <c r="G16" s="6" t="s">
        <v>353</v>
      </c>
      <c r="H16" s="6" t="s">
        <v>354</v>
      </c>
      <c r="I16" s="6" t="s">
        <v>355</v>
      </c>
      <c r="J16" s="6" t="s">
        <v>356</v>
      </c>
      <c r="K16" s="6" t="s">
        <v>357</v>
      </c>
      <c r="L16" s="9" t="n">
        <v>800</v>
      </c>
      <c r="M16" s="10" t="n">
        <v>112</v>
      </c>
      <c r="N16" s="6" t="s">
        <v>358</v>
      </c>
      <c r="O16" s="6" t="s">
        <v>359</v>
      </c>
      <c r="P16" s="6" t="s">
        <v>360</v>
      </c>
      <c r="Q16" s="11" t="s">
        <v>123</v>
      </c>
      <c r="R16" s="11" t="s">
        <v>123</v>
      </c>
      <c r="S16" s="6" t="s">
        <v>361</v>
      </c>
      <c r="T16" s="6" t="s">
        <v>101</v>
      </c>
      <c r="U16" s="6" t="s">
        <v>362</v>
      </c>
      <c r="V16" s="6" t="s">
        <v>363</v>
      </c>
      <c r="W16" s="6" t="s">
        <v>364</v>
      </c>
      <c r="X16" s="6" t="s">
        <v>129</v>
      </c>
      <c r="Y16" s="6" t="s">
        <v>129</v>
      </c>
      <c r="Z16" s="6" t="s">
        <v>129</v>
      </c>
      <c r="AA16" s="6" t="s">
        <v>365</v>
      </c>
      <c r="AB16" s="6" t="s">
        <v>366</v>
      </c>
      <c r="AC16" s="6" t="s">
        <v>367</v>
      </c>
      <c r="AD16" s="11" t="s">
        <v>368</v>
      </c>
      <c r="AE16" s="6" t="s">
        <v>169</v>
      </c>
      <c r="AF16" s="6" t="s">
        <v>169</v>
      </c>
      <c r="AG16" s="6" t="s">
        <v>369</v>
      </c>
      <c r="AH16" s="6" t="s">
        <v>370</v>
      </c>
    </row>
    <row r="17" customFormat="false" ht="22.35" hidden="false" customHeight="false" outlineLevel="0" collapsed="false">
      <c r="A17" s="6" t="s">
        <v>371</v>
      </c>
      <c r="B17" s="6" t="s">
        <v>372</v>
      </c>
      <c r="C17" s="7" t="n">
        <v>45309</v>
      </c>
      <c r="D17" s="7" t="n">
        <v>45401</v>
      </c>
      <c r="E17" s="6" t="n">
        <f aca="false">IF(AND(ISNUMBER(C17),ISNUMBER(D17)),ROUND((D17-C17)/30.44,1),"")</f>
        <v>3</v>
      </c>
      <c r="F17" s="8" t="s">
        <v>61</v>
      </c>
      <c r="G17" s="6" t="s">
        <v>373</v>
      </c>
      <c r="H17" s="6" t="s">
        <v>374</v>
      </c>
      <c r="I17" s="6" t="s">
        <v>375</v>
      </c>
      <c r="J17" s="6" t="s">
        <v>376</v>
      </c>
      <c r="K17" s="6" t="s">
        <v>377</v>
      </c>
      <c r="L17" s="9" t="n">
        <v>4950</v>
      </c>
      <c r="M17" s="6" t="s">
        <v>378</v>
      </c>
      <c r="N17" s="6" t="s">
        <v>379</v>
      </c>
      <c r="O17" s="6" t="s">
        <v>380</v>
      </c>
      <c r="P17" s="6" t="s">
        <v>380</v>
      </c>
      <c r="Q17" s="11" t="s">
        <v>123</v>
      </c>
      <c r="R17" s="11" t="s">
        <v>381</v>
      </c>
      <c r="S17" s="6" t="s">
        <v>100</v>
      </c>
      <c r="T17" s="6" t="s">
        <v>75</v>
      </c>
      <c r="U17" s="6" t="s">
        <v>103</v>
      </c>
      <c r="V17" s="6" t="s">
        <v>75</v>
      </c>
      <c r="W17" s="6" t="s">
        <v>103</v>
      </c>
      <c r="X17" s="6" t="s">
        <v>382</v>
      </c>
      <c r="Y17" s="6" t="s">
        <v>129</v>
      </c>
      <c r="Z17" s="6" t="s">
        <v>129</v>
      </c>
      <c r="AA17" s="6" t="s">
        <v>383</v>
      </c>
      <c r="AB17" s="6" t="s">
        <v>384</v>
      </c>
      <c r="AC17" s="6" t="s">
        <v>103</v>
      </c>
      <c r="AD17" s="6" t="s">
        <v>385</v>
      </c>
      <c r="AE17" s="6" t="s">
        <v>386</v>
      </c>
      <c r="AF17" s="6" t="s">
        <v>387</v>
      </c>
      <c r="AG17" s="6" t="s">
        <v>158</v>
      </c>
      <c r="AH17" s="6" t="s">
        <v>388</v>
      </c>
    </row>
    <row r="18" customFormat="false" ht="22.35" hidden="false" customHeight="false" outlineLevel="0" collapsed="false">
      <c r="A18" s="6" t="s">
        <v>389</v>
      </c>
      <c r="B18" s="6" t="s">
        <v>390</v>
      </c>
      <c r="C18" s="7" t="n">
        <v>45328</v>
      </c>
      <c r="D18" s="7" t="n">
        <v>45497</v>
      </c>
      <c r="E18" s="6" t="n">
        <f aca="false">IF(AND(ISNUMBER(C18),ISNUMBER(D18)),ROUND((D18-C18)/30.44,1),"")</f>
        <v>5.6</v>
      </c>
      <c r="F18" s="8" t="s">
        <v>61</v>
      </c>
      <c r="G18" s="6" t="s">
        <v>391</v>
      </c>
      <c r="H18" s="6" t="s">
        <v>392</v>
      </c>
      <c r="I18" s="6" t="s">
        <v>393</v>
      </c>
      <c r="J18" s="6" t="s">
        <v>394</v>
      </c>
      <c r="K18" s="6" t="s">
        <v>395</v>
      </c>
      <c r="L18" s="9" t="n">
        <v>3300</v>
      </c>
      <c r="M18" s="10" t="n">
        <v>497</v>
      </c>
      <c r="N18" s="6" t="s">
        <v>396</v>
      </c>
      <c r="O18" s="6" t="s">
        <v>397</v>
      </c>
      <c r="P18" s="6" t="s">
        <v>397</v>
      </c>
      <c r="Q18" s="11" t="s">
        <v>398</v>
      </c>
      <c r="R18" s="11" t="s">
        <v>399</v>
      </c>
      <c r="S18" s="6" t="s">
        <v>100</v>
      </c>
      <c r="T18" s="6" t="s">
        <v>101</v>
      </c>
      <c r="U18" s="6" t="s">
        <v>103</v>
      </c>
      <c r="V18" s="6" t="s">
        <v>75</v>
      </c>
      <c r="W18" s="6" t="s">
        <v>400</v>
      </c>
      <c r="X18" s="6" t="s">
        <v>128</v>
      </c>
      <c r="Y18" s="6" t="s">
        <v>129</v>
      </c>
      <c r="Z18" s="6" t="s">
        <v>129</v>
      </c>
      <c r="AA18" s="6" t="s">
        <v>401</v>
      </c>
      <c r="AB18" s="6" t="s">
        <v>402</v>
      </c>
      <c r="AC18" s="11" t="s">
        <v>403</v>
      </c>
      <c r="AD18" s="6" t="s">
        <v>404</v>
      </c>
      <c r="AE18" s="6" t="s">
        <v>110</v>
      </c>
      <c r="AF18" s="6" t="s">
        <v>405</v>
      </c>
      <c r="AG18" s="11" t="s">
        <v>406</v>
      </c>
      <c r="AH18" s="6"/>
    </row>
    <row r="19" customFormat="false" ht="22.35" hidden="false" customHeight="false" outlineLevel="0" collapsed="false">
      <c r="A19" s="6" t="s">
        <v>407</v>
      </c>
      <c r="B19" s="6" t="s">
        <v>408</v>
      </c>
      <c r="C19" s="7" t="n">
        <v>45337</v>
      </c>
      <c r="D19" s="7" t="n">
        <v>45505</v>
      </c>
      <c r="E19" s="6" t="n">
        <f aca="false">IF(AND(ISNUMBER(C19),ISNUMBER(D19)),ROUND((D19-C19)/30.44,1),"")</f>
        <v>5.5</v>
      </c>
      <c r="F19" s="8" t="s">
        <v>61</v>
      </c>
      <c r="G19" s="6" t="s">
        <v>409</v>
      </c>
      <c r="H19" s="6" t="s">
        <v>410</v>
      </c>
      <c r="I19" s="6" t="s">
        <v>411</v>
      </c>
      <c r="J19" s="6" t="s">
        <v>412</v>
      </c>
      <c r="K19" s="6" t="s">
        <v>413</v>
      </c>
      <c r="L19" s="9" t="n">
        <v>5900</v>
      </c>
      <c r="M19" s="6" t="s">
        <v>414</v>
      </c>
      <c r="N19" s="6" t="s">
        <v>415</v>
      </c>
      <c r="O19" s="6" t="s">
        <v>416</v>
      </c>
      <c r="P19" s="6" t="s">
        <v>416</v>
      </c>
      <c r="Q19" s="11" t="s">
        <v>123</v>
      </c>
      <c r="R19" s="11" t="s">
        <v>417</v>
      </c>
      <c r="S19" s="6" t="s">
        <v>100</v>
      </c>
      <c r="T19" s="6" t="s">
        <v>75</v>
      </c>
      <c r="U19" s="6" t="s">
        <v>103</v>
      </c>
      <c r="V19" s="6" t="s">
        <v>75</v>
      </c>
      <c r="W19" s="6" t="s">
        <v>103</v>
      </c>
      <c r="X19" s="6" t="s">
        <v>418</v>
      </c>
      <c r="Y19" s="11" t="s">
        <v>419</v>
      </c>
      <c r="Z19" s="6" t="s">
        <v>129</v>
      </c>
      <c r="AA19" s="6" t="s">
        <v>420</v>
      </c>
      <c r="AB19" s="6" t="s">
        <v>421</v>
      </c>
      <c r="AC19" s="6" t="s">
        <v>103</v>
      </c>
      <c r="AD19" s="6" t="s">
        <v>422</v>
      </c>
      <c r="AE19" s="6" t="s">
        <v>423</v>
      </c>
      <c r="AF19" s="6" t="s">
        <v>424</v>
      </c>
      <c r="AG19" s="6" t="s">
        <v>158</v>
      </c>
      <c r="AH19" s="6"/>
    </row>
    <row r="20" customFormat="false" ht="22.35" hidden="false" customHeight="false" outlineLevel="0" collapsed="false">
      <c r="A20" s="6" t="s">
        <v>425</v>
      </c>
      <c r="B20" s="6" t="s">
        <v>426</v>
      </c>
      <c r="C20" s="7" t="n">
        <v>45342</v>
      </c>
      <c r="D20" s="7" t="n">
        <v>45504</v>
      </c>
      <c r="E20" s="6" t="n">
        <f aca="false">IF(AND(ISNUMBER(C20),ISNUMBER(D20)),ROUND((D20-C20)/30.44,1),"")</f>
        <v>5.3</v>
      </c>
      <c r="F20" s="8" t="s">
        <v>61</v>
      </c>
      <c r="G20" s="6" t="s">
        <v>427</v>
      </c>
      <c r="H20" s="6" t="s">
        <v>428</v>
      </c>
      <c r="I20" s="6" t="s">
        <v>429</v>
      </c>
      <c r="J20" s="6" t="s">
        <v>430</v>
      </c>
      <c r="K20" s="6" t="s">
        <v>242</v>
      </c>
      <c r="L20" s="9" t="n">
        <v>320</v>
      </c>
      <c r="M20" s="10" t="n">
        <v>47.5</v>
      </c>
      <c r="N20" s="6" t="s">
        <v>431</v>
      </c>
      <c r="O20" s="6" t="s">
        <v>432</v>
      </c>
      <c r="P20" s="6" t="s">
        <v>432</v>
      </c>
      <c r="Q20" s="11" t="s">
        <v>123</v>
      </c>
      <c r="R20" s="11" t="s">
        <v>433</v>
      </c>
      <c r="S20" s="6" t="s">
        <v>100</v>
      </c>
      <c r="T20" s="6" t="s">
        <v>101</v>
      </c>
      <c r="U20" s="6" t="s">
        <v>102</v>
      </c>
      <c r="V20" s="6" t="s">
        <v>75</v>
      </c>
      <c r="W20" s="11" t="s">
        <v>434</v>
      </c>
      <c r="X20" s="6" t="s">
        <v>128</v>
      </c>
      <c r="Y20" s="6" t="s">
        <v>129</v>
      </c>
      <c r="Z20" s="6" t="s">
        <v>129</v>
      </c>
      <c r="AA20" s="6" t="s">
        <v>435</v>
      </c>
      <c r="AB20" s="6" t="s">
        <v>436</v>
      </c>
      <c r="AC20" s="6" t="s">
        <v>232</v>
      </c>
      <c r="AD20" s="11" t="s">
        <v>437</v>
      </c>
      <c r="AE20" s="6" t="s">
        <v>110</v>
      </c>
      <c r="AF20" s="11" t="s">
        <v>157</v>
      </c>
      <c r="AG20" s="6" t="s">
        <v>438</v>
      </c>
      <c r="AH20" s="6"/>
    </row>
    <row r="21" customFormat="false" ht="32.8" hidden="false" customHeight="false" outlineLevel="0" collapsed="false">
      <c r="A21" s="6" t="s">
        <v>439</v>
      </c>
      <c r="B21" s="6" t="s">
        <v>440</v>
      </c>
      <c r="C21" s="7" t="n">
        <v>45331</v>
      </c>
      <c r="D21" s="7" t="n">
        <v>45443</v>
      </c>
      <c r="E21" s="6" t="n">
        <f aca="false">IF(AND(ISNUMBER(C21),ISNUMBER(D21)),ROUND((D21-C21)/30.44,1),"")</f>
        <v>3.7</v>
      </c>
      <c r="F21" s="8" t="s">
        <v>441</v>
      </c>
      <c r="G21" s="6" t="s">
        <v>442</v>
      </c>
      <c r="H21" s="6" t="s">
        <v>443</v>
      </c>
      <c r="I21" s="6" t="s">
        <v>444</v>
      </c>
      <c r="J21" s="6" t="s">
        <v>445</v>
      </c>
      <c r="K21" s="6" t="s">
        <v>446</v>
      </c>
      <c r="L21" s="9" t="n">
        <v>450</v>
      </c>
      <c r="M21" s="10" t="n">
        <v>68</v>
      </c>
      <c r="N21" s="6" t="s">
        <v>447</v>
      </c>
      <c r="O21" s="6" t="s">
        <v>448</v>
      </c>
      <c r="P21" s="6" t="s">
        <v>449</v>
      </c>
      <c r="Q21" s="11" t="s">
        <v>123</v>
      </c>
      <c r="R21" s="11" t="s">
        <v>123</v>
      </c>
      <c r="S21" s="6" t="s">
        <v>450</v>
      </c>
      <c r="T21" s="6" t="s">
        <v>101</v>
      </c>
      <c r="U21" s="6" t="s">
        <v>451</v>
      </c>
      <c r="V21" s="6" t="s">
        <v>75</v>
      </c>
      <c r="W21" s="6" t="s">
        <v>452</v>
      </c>
      <c r="X21" s="6" t="s">
        <v>128</v>
      </c>
      <c r="Y21" s="6" t="s">
        <v>129</v>
      </c>
      <c r="Z21" s="6" t="s">
        <v>129</v>
      </c>
      <c r="AA21" s="6" t="s">
        <v>453</v>
      </c>
      <c r="AB21" s="6" t="s">
        <v>454</v>
      </c>
      <c r="AC21" s="6" t="s">
        <v>455</v>
      </c>
      <c r="AD21" s="6" t="s">
        <v>456</v>
      </c>
      <c r="AE21" s="6" t="s">
        <v>110</v>
      </c>
      <c r="AF21" s="11" t="s">
        <v>157</v>
      </c>
      <c r="AG21" s="6" t="s">
        <v>270</v>
      </c>
      <c r="AH21" s="6" t="s">
        <v>457</v>
      </c>
    </row>
    <row r="22" customFormat="false" ht="22.35" hidden="false" customHeight="false" outlineLevel="0" collapsed="false">
      <c r="A22" s="6" t="s">
        <v>458</v>
      </c>
      <c r="B22" s="6" t="s">
        <v>459</v>
      </c>
      <c r="C22" s="7" t="n">
        <v>45372</v>
      </c>
      <c r="D22" s="7" t="n">
        <v>45524</v>
      </c>
      <c r="E22" s="6" t="n">
        <f aca="false">IF(AND(ISNUMBER(C22),ISNUMBER(D22)),ROUND((D22-C22)/30.44,1),"")</f>
        <v>5</v>
      </c>
      <c r="F22" s="8" t="s">
        <v>460</v>
      </c>
      <c r="G22" s="6" t="s">
        <v>461</v>
      </c>
      <c r="H22" s="6" t="s">
        <v>462</v>
      </c>
      <c r="I22" s="6" t="s">
        <v>463</v>
      </c>
      <c r="J22" s="6" t="s">
        <v>464</v>
      </c>
      <c r="K22" s="6" t="s">
        <v>465</v>
      </c>
      <c r="L22" s="9" t="n">
        <v>800</v>
      </c>
      <c r="M22" s="10" t="n">
        <v>120</v>
      </c>
      <c r="N22" s="6" t="s">
        <v>466</v>
      </c>
      <c r="O22" s="6" t="s">
        <v>467</v>
      </c>
      <c r="P22" s="6" t="s">
        <v>468</v>
      </c>
      <c r="Q22" s="11" t="s">
        <v>469</v>
      </c>
      <c r="R22" s="11" t="s">
        <v>470</v>
      </c>
      <c r="S22" s="6" t="s">
        <v>471</v>
      </c>
      <c r="T22" s="6" t="s">
        <v>101</v>
      </c>
      <c r="U22" s="6" t="s">
        <v>472</v>
      </c>
      <c r="V22" s="6" t="s">
        <v>75</v>
      </c>
      <c r="W22" s="6" t="s">
        <v>103</v>
      </c>
      <c r="X22" s="6" t="s">
        <v>128</v>
      </c>
      <c r="Y22" s="6" t="s">
        <v>129</v>
      </c>
      <c r="Z22" s="6" t="s">
        <v>129</v>
      </c>
      <c r="AA22" s="6" t="s">
        <v>473</v>
      </c>
      <c r="AB22" s="6" t="s">
        <v>474</v>
      </c>
      <c r="AC22" s="6" t="s">
        <v>475</v>
      </c>
      <c r="AD22" s="6" t="s">
        <v>476</v>
      </c>
      <c r="AE22" s="6" t="s">
        <v>110</v>
      </c>
      <c r="AF22" s="11" t="s">
        <v>157</v>
      </c>
      <c r="AG22" s="6" t="s">
        <v>477</v>
      </c>
      <c r="AH22" s="6"/>
    </row>
    <row r="23" customFormat="false" ht="22.35" hidden="false" customHeight="false" outlineLevel="0" collapsed="false">
      <c r="A23" s="6" t="s">
        <v>478</v>
      </c>
      <c r="B23" s="6" t="s">
        <v>479</v>
      </c>
      <c r="C23" s="7" t="n">
        <v>45432</v>
      </c>
      <c r="D23" s="7" t="n">
        <v>45565</v>
      </c>
      <c r="E23" s="6" t="n">
        <f aca="false">IF(AND(ISNUMBER(C23),ISNUMBER(D23)),ROUND((D23-C23)/30.44,1),"")</f>
        <v>4.4</v>
      </c>
      <c r="F23" s="8" t="s">
        <v>61</v>
      </c>
      <c r="G23" s="6" t="s">
        <v>480</v>
      </c>
      <c r="H23" s="6" t="s">
        <v>481</v>
      </c>
      <c r="I23" s="6" t="s">
        <v>482</v>
      </c>
      <c r="J23" s="6" t="s">
        <v>483</v>
      </c>
      <c r="K23" s="6" t="s">
        <v>484</v>
      </c>
      <c r="L23" s="9" t="n">
        <v>870</v>
      </c>
      <c r="M23" s="10" t="n">
        <v>130</v>
      </c>
      <c r="N23" s="6" t="s">
        <v>485</v>
      </c>
      <c r="O23" s="6" t="s">
        <v>486</v>
      </c>
      <c r="P23" s="6" t="s">
        <v>486</v>
      </c>
      <c r="Q23" s="11" t="s">
        <v>123</v>
      </c>
      <c r="R23" s="11" t="s">
        <v>487</v>
      </c>
      <c r="S23" s="6" t="s">
        <v>100</v>
      </c>
      <c r="T23" s="6" t="s">
        <v>101</v>
      </c>
      <c r="U23" s="11" t="s">
        <v>488</v>
      </c>
      <c r="V23" s="6" t="s">
        <v>75</v>
      </c>
      <c r="W23" s="6" t="s">
        <v>489</v>
      </c>
      <c r="X23" s="6" t="s">
        <v>128</v>
      </c>
      <c r="Y23" s="6" t="s">
        <v>129</v>
      </c>
      <c r="Z23" s="6" t="s">
        <v>129</v>
      </c>
      <c r="AA23" s="6" t="s">
        <v>490</v>
      </c>
      <c r="AB23" s="6" t="s">
        <v>491</v>
      </c>
      <c r="AC23" s="6" t="s">
        <v>232</v>
      </c>
      <c r="AD23" s="11" t="s">
        <v>437</v>
      </c>
      <c r="AE23" s="6" t="s">
        <v>110</v>
      </c>
      <c r="AF23" s="11" t="s">
        <v>157</v>
      </c>
      <c r="AG23" s="6" t="s">
        <v>235</v>
      </c>
      <c r="AH23" s="6"/>
    </row>
    <row r="24" customFormat="false" ht="32.8" hidden="false" customHeight="false" outlineLevel="0" collapsed="false">
      <c r="A24" s="6" t="s">
        <v>492</v>
      </c>
      <c r="B24" s="6" t="s">
        <v>493</v>
      </c>
      <c r="C24" s="7" t="n">
        <v>45457</v>
      </c>
      <c r="D24" s="7" t="n">
        <v>45552</v>
      </c>
      <c r="E24" s="6" t="n">
        <f aca="false">IF(AND(ISNUMBER(C24),ISNUMBER(D24)),ROUND((D24-C24)/30.44,1),"")</f>
        <v>3.1</v>
      </c>
      <c r="F24" s="8" t="s">
        <v>61</v>
      </c>
      <c r="G24" s="6" t="s">
        <v>494</v>
      </c>
      <c r="H24" s="6" t="s">
        <v>495</v>
      </c>
      <c r="I24" s="6" t="s">
        <v>496</v>
      </c>
      <c r="J24" s="6" t="s">
        <v>497</v>
      </c>
      <c r="K24" s="6" t="s">
        <v>498</v>
      </c>
      <c r="L24" s="9" t="n">
        <v>1500</v>
      </c>
      <c r="M24" s="10" t="n">
        <v>221.9</v>
      </c>
      <c r="N24" s="6" t="s">
        <v>499</v>
      </c>
      <c r="O24" s="6" t="s">
        <v>122</v>
      </c>
      <c r="P24" s="6" t="s">
        <v>500</v>
      </c>
      <c r="Q24" s="11" t="s">
        <v>123</v>
      </c>
      <c r="R24" s="11" t="s">
        <v>501</v>
      </c>
      <c r="S24" s="6" t="s">
        <v>100</v>
      </c>
      <c r="T24" s="6" t="s">
        <v>101</v>
      </c>
      <c r="U24" s="6" t="s">
        <v>103</v>
      </c>
      <c r="V24" s="6" t="s">
        <v>502</v>
      </c>
      <c r="W24" s="6" t="s">
        <v>503</v>
      </c>
      <c r="X24" s="6" t="s">
        <v>128</v>
      </c>
      <c r="Y24" s="6" t="s">
        <v>129</v>
      </c>
      <c r="Z24" s="6" t="s">
        <v>129</v>
      </c>
      <c r="AA24" s="6" t="s">
        <v>504</v>
      </c>
      <c r="AB24" s="11" t="s">
        <v>505</v>
      </c>
      <c r="AC24" s="11" t="s">
        <v>506</v>
      </c>
      <c r="AD24" s="6" t="s">
        <v>507</v>
      </c>
      <c r="AE24" s="6" t="s">
        <v>110</v>
      </c>
      <c r="AF24" s="11" t="s">
        <v>157</v>
      </c>
      <c r="AG24" s="6" t="s">
        <v>235</v>
      </c>
      <c r="AH24" s="6"/>
    </row>
    <row r="25" customFormat="false" ht="22.35" hidden="false" customHeight="false" outlineLevel="0" collapsed="false">
      <c r="A25" s="6" t="s">
        <v>508</v>
      </c>
      <c r="B25" s="6" t="s">
        <v>509</v>
      </c>
      <c r="C25" s="7" t="n">
        <v>45408</v>
      </c>
      <c r="D25" s="7" t="n">
        <v>45534</v>
      </c>
      <c r="E25" s="6" t="n">
        <f aca="false">IF(AND(ISNUMBER(C25),ISNUMBER(D25)),ROUND((D25-C25)/30.44,1),"")</f>
        <v>4.1</v>
      </c>
      <c r="F25" s="8" t="s">
        <v>61</v>
      </c>
      <c r="G25" s="6" t="s">
        <v>510</v>
      </c>
      <c r="H25" s="6" t="s">
        <v>511</v>
      </c>
      <c r="I25" s="6" t="s">
        <v>512</v>
      </c>
      <c r="J25" s="6" t="s">
        <v>513</v>
      </c>
      <c r="K25" s="6" t="s">
        <v>514</v>
      </c>
      <c r="L25" s="9" t="n">
        <v>1000</v>
      </c>
      <c r="M25" s="10" t="n">
        <v>150</v>
      </c>
      <c r="N25" s="6" t="s">
        <v>515</v>
      </c>
      <c r="O25" s="6" t="s">
        <v>516</v>
      </c>
      <c r="P25" s="6" t="s">
        <v>516</v>
      </c>
      <c r="Q25" s="11" t="s">
        <v>123</v>
      </c>
      <c r="R25" s="11" t="s">
        <v>517</v>
      </c>
      <c r="S25" s="6" t="s">
        <v>100</v>
      </c>
      <c r="T25" s="6" t="s">
        <v>101</v>
      </c>
      <c r="U25" s="11" t="s">
        <v>518</v>
      </c>
      <c r="V25" s="6" t="s">
        <v>75</v>
      </c>
      <c r="W25" s="6" t="s">
        <v>519</v>
      </c>
      <c r="X25" s="6" t="s">
        <v>128</v>
      </c>
      <c r="Y25" s="11" t="s">
        <v>520</v>
      </c>
      <c r="Z25" s="6" t="s">
        <v>129</v>
      </c>
      <c r="AA25" s="6" t="s">
        <v>521</v>
      </c>
      <c r="AB25" s="6" t="s">
        <v>522</v>
      </c>
      <c r="AC25" s="6" t="s">
        <v>232</v>
      </c>
      <c r="AD25" s="6" t="s">
        <v>523</v>
      </c>
      <c r="AE25" s="6" t="s">
        <v>110</v>
      </c>
      <c r="AF25" s="11" t="s">
        <v>157</v>
      </c>
      <c r="AG25" s="6" t="s">
        <v>235</v>
      </c>
      <c r="AH25" s="6"/>
    </row>
    <row r="26" customFormat="false" ht="22.35" hidden="false" customHeight="false" outlineLevel="0" collapsed="false">
      <c r="A26" s="6" t="s">
        <v>524</v>
      </c>
      <c r="B26" s="6" t="s">
        <v>525</v>
      </c>
      <c r="C26" s="7" t="n">
        <v>45455</v>
      </c>
      <c r="D26" s="7" t="n">
        <v>45625</v>
      </c>
      <c r="E26" s="6" t="n">
        <f aca="false">IF(AND(ISNUMBER(C26),ISNUMBER(D26)),ROUND((D26-C26)/30.44,1),"")</f>
        <v>5.6</v>
      </c>
      <c r="F26" s="8" t="s">
        <v>61</v>
      </c>
      <c r="G26" s="6" t="s">
        <v>526</v>
      </c>
      <c r="H26" s="6" t="s">
        <v>527</v>
      </c>
      <c r="I26" s="6" t="s">
        <v>528</v>
      </c>
      <c r="J26" s="6" t="s">
        <v>529</v>
      </c>
      <c r="K26" s="6" t="s">
        <v>530</v>
      </c>
      <c r="L26" s="9" t="n">
        <v>1800</v>
      </c>
      <c r="M26" s="10" t="n">
        <v>280</v>
      </c>
      <c r="N26" s="6" t="s">
        <v>531</v>
      </c>
      <c r="O26" s="11" t="s">
        <v>532</v>
      </c>
      <c r="P26" s="11" t="s">
        <v>123</v>
      </c>
      <c r="Q26" s="11" t="s">
        <v>123</v>
      </c>
      <c r="R26" s="11" t="s">
        <v>123</v>
      </c>
      <c r="S26" s="6" t="s">
        <v>100</v>
      </c>
      <c r="T26" s="6" t="s">
        <v>101</v>
      </c>
      <c r="U26" s="6" t="s">
        <v>533</v>
      </c>
      <c r="V26" s="6" t="s">
        <v>75</v>
      </c>
      <c r="W26" s="6" t="s">
        <v>534</v>
      </c>
      <c r="X26" s="6" t="s">
        <v>128</v>
      </c>
      <c r="Y26" s="6" t="s">
        <v>129</v>
      </c>
      <c r="Z26" s="6" t="s">
        <v>129</v>
      </c>
      <c r="AA26" s="6" t="s">
        <v>535</v>
      </c>
      <c r="AB26" s="6" t="s">
        <v>536</v>
      </c>
      <c r="AC26" s="6" t="s">
        <v>232</v>
      </c>
      <c r="AD26" s="11" t="s">
        <v>537</v>
      </c>
      <c r="AE26" s="6" t="s">
        <v>110</v>
      </c>
      <c r="AF26" s="11" t="s">
        <v>157</v>
      </c>
      <c r="AG26" s="6" t="s">
        <v>235</v>
      </c>
      <c r="AH26" s="6"/>
    </row>
    <row r="27" customFormat="false" ht="32.8" hidden="false" customHeight="false" outlineLevel="0" collapsed="false">
      <c r="A27" s="6" t="s">
        <v>538</v>
      </c>
      <c r="B27" s="6" t="s">
        <v>539</v>
      </c>
      <c r="C27" s="7" t="n">
        <v>45512</v>
      </c>
      <c r="D27" s="7" t="n">
        <v>45747</v>
      </c>
      <c r="E27" s="6" t="n">
        <f aca="false">IF(AND(ISNUMBER(C27),ISNUMBER(D27)),ROUND((D27-C27)/30.44,1),"")</f>
        <v>7.7</v>
      </c>
      <c r="F27" s="8" t="s">
        <v>540</v>
      </c>
      <c r="G27" s="6" t="s">
        <v>541</v>
      </c>
      <c r="H27" s="6" t="s">
        <v>542</v>
      </c>
      <c r="I27" s="6" t="s">
        <v>543</v>
      </c>
      <c r="J27" s="6" t="s">
        <v>544</v>
      </c>
      <c r="K27" s="6" t="s">
        <v>545</v>
      </c>
      <c r="L27" s="9" t="n">
        <v>4000</v>
      </c>
      <c r="M27" s="10" t="n">
        <v>600</v>
      </c>
      <c r="N27" s="6" t="s">
        <v>546</v>
      </c>
      <c r="O27" s="6" t="s">
        <v>547</v>
      </c>
      <c r="P27" s="6" t="s">
        <v>548</v>
      </c>
      <c r="Q27" s="11" t="s">
        <v>123</v>
      </c>
      <c r="R27" s="11" t="s">
        <v>549</v>
      </c>
      <c r="S27" s="6" t="s">
        <v>550</v>
      </c>
      <c r="T27" s="6" t="s">
        <v>551</v>
      </c>
      <c r="U27" s="6" t="s">
        <v>552</v>
      </c>
      <c r="V27" s="6" t="s">
        <v>75</v>
      </c>
      <c r="W27" s="6" t="s">
        <v>553</v>
      </c>
      <c r="X27" s="6" t="s">
        <v>128</v>
      </c>
      <c r="Y27" s="6" t="s">
        <v>129</v>
      </c>
      <c r="Z27" s="6" t="s">
        <v>129</v>
      </c>
      <c r="AA27" s="6" t="s">
        <v>554</v>
      </c>
      <c r="AB27" s="6" t="s">
        <v>555</v>
      </c>
      <c r="AC27" s="6" t="s">
        <v>556</v>
      </c>
      <c r="AD27" s="11" t="s">
        <v>557</v>
      </c>
      <c r="AE27" s="6" t="s">
        <v>110</v>
      </c>
      <c r="AF27" s="11" t="s">
        <v>558</v>
      </c>
      <c r="AG27" s="11" t="s">
        <v>559</v>
      </c>
      <c r="AH27" s="6" t="s">
        <v>560</v>
      </c>
    </row>
    <row r="28" customFormat="false" ht="43.25" hidden="false" customHeight="false" outlineLevel="0" collapsed="false">
      <c r="A28" s="6" t="s">
        <v>561</v>
      </c>
      <c r="B28" s="6" t="s">
        <v>562</v>
      </c>
      <c r="C28" s="7" t="n">
        <v>45523</v>
      </c>
      <c r="D28" s="7" t="n">
        <v>45854</v>
      </c>
      <c r="E28" s="6" t="n">
        <f aca="false">IF(AND(ISNUMBER(C28),ISNUMBER(D28)),ROUND((D28-C28)/30.44,1),"")</f>
        <v>10.9</v>
      </c>
      <c r="F28" s="12" t="s">
        <v>563</v>
      </c>
      <c r="G28" s="6" t="s">
        <v>318</v>
      </c>
      <c r="H28" s="6" t="s">
        <v>319</v>
      </c>
      <c r="I28" s="6" t="s">
        <v>320</v>
      </c>
      <c r="J28" s="6" t="s">
        <v>564</v>
      </c>
      <c r="K28" s="6" t="s">
        <v>565</v>
      </c>
      <c r="L28" s="9" t="n">
        <v>47000</v>
      </c>
      <c r="M28" s="6" t="s">
        <v>566</v>
      </c>
      <c r="N28" s="6" t="s">
        <v>567</v>
      </c>
      <c r="O28" s="6" t="s">
        <v>568</v>
      </c>
      <c r="P28" s="6" t="s">
        <v>569</v>
      </c>
      <c r="Q28" s="11" t="s">
        <v>570</v>
      </c>
      <c r="R28" s="11" t="s">
        <v>571</v>
      </c>
      <c r="S28" s="6" t="s">
        <v>572</v>
      </c>
      <c r="T28" s="6" t="s">
        <v>573</v>
      </c>
      <c r="U28" s="6" t="s">
        <v>574</v>
      </c>
      <c r="V28" s="6" t="s">
        <v>75</v>
      </c>
      <c r="W28" s="6" t="s">
        <v>103</v>
      </c>
      <c r="X28" s="6" t="s">
        <v>575</v>
      </c>
      <c r="Y28" s="6" t="s">
        <v>576</v>
      </c>
      <c r="Z28" s="6" t="s">
        <v>128</v>
      </c>
      <c r="AA28" s="6" t="s">
        <v>577</v>
      </c>
      <c r="AB28" s="6" t="s">
        <v>578</v>
      </c>
      <c r="AC28" s="6" t="s">
        <v>579</v>
      </c>
      <c r="AD28" s="6" t="s">
        <v>580</v>
      </c>
      <c r="AE28" s="6" t="s">
        <v>169</v>
      </c>
      <c r="AF28" s="6" t="s">
        <v>169</v>
      </c>
      <c r="AG28" s="6" t="s">
        <v>158</v>
      </c>
      <c r="AH28" s="6" t="s">
        <v>581</v>
      </c>
    </row>
    <row r="29" customFormat="false" ht="32.8" hidden="false" customHeight="false" outlineLevel="0" collapsed="false">
      <c r="A29" s="6" t="s">
        <v>582</v>
      </c>
      <c r="B29" s="6" t="s">
        <v>583</v>
      </c>
      <c r="C29" s="7" t="n">
        <v>45594</v>
      </c>
      <c r="D29" s="7" t="n">
        <v>45688</v>
      </c>
      <c r="E29" s="6" t="n">
        <f aca="false">IF(AND(ISNUMBER(C29),ISNUMBER(D29)),ROUND((D29-C29)/30.44,1),"")</f>
        <v>3.1</v>
      </c>
      <c r="F29" s="8" t="s">
        <v>61</v>
      </c>
      <c r="G29" s="6" t="s">
        <v>584</v>
      </c>
      <c r="H29" s="6" t="s">
        <v>585</v>
      </c>
      <c r="I29" s="6" t="s">
        <v>586</v>
      </c>
      <c r="J29" s="6" t="s">
        <v>587</v>
      </c>
      <c r="K29" s="6" t="s">
        <v>588</v>
      </c>
      <c r="L29" s="9" t="n">
        <v>1400</v>
      </c>
      <c r="M29" s="10" t="n">
        <v>213</v>
      </c>
      <c r="N29" s="6" t="s">
        <v>589</v>
      </c>
      <c r="O29" s="6" t="s">
        <v>590</v>
      </c>
      <c r="P29" s="11" t="s">
        <v>591</v>
      </c>
      <c r="Q29" s="11" t="s">
        <v>123</v>
      </c>
      <c r="R29" s="11" t="s">
        <v>487</v>
      </c>
      <c r="S29" s="6" t="s">
        <v>100</v>
      </c>
      <c r="T29" s="6" t="s">
        <v>101</v>
      </c>
      <c r="U29" s="6" t="s">
        <v>103</v>
      </c>
      <c r="V29" s="6" t="s">
        <v>75</v>
      </c>
      <c r="W29" s="6" t="s">
        <v>592</v>
      </c>
      <c r="X29" s="6" t="s">
        <v>128</v>
      </c>
      <c r="Y29" s="6" t="s">
        <v>129</v>
      </c>
      <c r="Z29" s="6" t="s">
        <v>129</v>
      </c>
      <c r="AA29" s="6" t="s">
        <v>593</v>
      </c>
      <c r="AB29" s="6" t="s">
        <v>594</v>
      </c>
      <c r="AC29" s="11" t="s">
        <v>123</v>
      </c>
      <c r="AD29" s="11" t="s">
        <v>595</v>
      </c>
      <c r="AE29" s="6" t="s">
        <v>110</v>
      </c>
      <c r="AF29" s="11" t="s">
        <v>558</v>
      </c>
      <c r="AG29" s="6" t="s">
        <v>235</v>
      </c>
      <c r="AH29" s="6" t="s">
        <v>596</v>
      </c>
    </row>
    <row r="30" customFormat="false" ht="32.8" hidden="false" customHeight="false" outlineLevel="0" collapsed="false">
      <c r="A30" s="6" t="s">
        <v>597</v>
      </c>
      <c r="B30" s="6" t="s">
        <v>598</v>
      </c>
      <c r="C30" s="7" t="n">
        <v>45565</v>
      </c>
      <c r="D30" s="7" t="n">
        <v>45716</v>
      </c>
      <c r="E30" s="6" t="n">
        <f aca="false">IF(AND(ISNUMBER(C30),ISNUMBER(D30)),ROUND((D30-C30)/30.44,1),"")</f>
        <v>5</v>
      </c>
      <c r="F30" s="8" t="s">
        <v>61</v>
      </c>
      <c r="G30" s="6" t="s">
        <v>599</v>
      </c>
      <c r="H30" s="6" t="s">
        <v>600</v>
      </c>
      <c r="I30" s="6" t="s">
        <v>601</v>
      </c>
      <c r="J30" s="6" t="s">
        <v>602</v>
      </c>
      <c r="K30" s="6" t="s">
        <v>242</v>
      </c>
      <c r="L30" s="9" t="n">
        <v>930</v>
      </c>
      <c r="M30" s="10" t="n">
        <v>140</v>
      </c>
      <c r="N30" s="6" t="s">
        <v>603</v>
      </c>
      <c r="O30" s="6" t="s">
        <v>604</v>
      </c>
      <c r="P30" s="11" t="s">
        <v>123</v>
      </c>
      <c r="Q30" s="11" t="s">
        <v>123</v>
      </c>
      <c r="R30" s="11" t="s">
        <v>123</v>
      </c>
      <c r="S30" s="6" t="s">
        <v>100</v>
      </c>
      <c r="T30" s="6" t="s">
        <v>101</v>
      </c>
      <c r="U30" s="11" t="s">
        <v>123</v>
      </c>
      <c r="V30" s="6" t="s">
        <v>75</v>
      </c>
      <c r="W30" s="6" t="s">
        <v>605</v>
      </c>
      <c r="X30" s="6" t="s">
        <v>128</v>
      </c>
      <c r="Y30" s="6" t="s">
        <v>129</v>
      </c>
      <c r="Z30" s="6" t="s">
        <v>129</v>
      </c>
      <c r="AA30" s="6" t="s">
        <v>606</v>
      </c>
      <c r="AB30" s="11" t="s">
        <v>607</v>
      </c>
      <c r="AC30" s="11" t="s">
        <v>123</v>
      </c>
      <c r="AD30" s="11" t="s">
        <v>608</v>
      </c>
      <c r="AE30" s="6" t="s">
        <v>110</v>
      </c>
      <c r="AF30" s="11" t="s">
        <v>558</v>
      </c>
      <c r="AG30" s="6" t="s">
        <v>135</v>
      </c>
      <c r="AH30" s="6" t="s">
        <v>609</v>
      </c>
    </row>
    <row r="31" customFormat="false" ht="32.8" hidden="false" customHeight="false" outlineLevel="0" collapsed="false">
      <c r="A31" s="6" t="s">
        <v>610</v>
      </c>
      <c r="B31" s="6" t="s">
        <v>611</v>
      </c>
      <c r="C31" s="7" t="n">
        <v>45653</v>
      </c>
      <c r="D31" s="7" t="n">
        <v>45786</v>
      </c>
      <c r="E31" s="6" t="n">
        <f aca="false">IF(AND(ISNUMBER(C31),ISNUMBER(D31)),ROUND((D31-C31)/30.44,1),"")</f>
        <v>4.4</v>
      </c>
      <c r="F31" s="12" t="s">
        <v>612</v>
      </c>
      <c r="G31" s="6" t="s">
        <v>613</v>
      </c>
      <c r="H31" s="6" t="s">
        <v>614</v>
      </c>
      <c r="I31" s="6" t="s">
        <v>141</v>
      </c>
      <c r="J31" s="6" t="s">
        <v>142</v>
      </c>
      <c r="K31" s="6" t="s">
        <v>143</v>
      </c>
      <c r="L31" s="9" t="n">
        <v>1700</v>
      </c>
      <c r="M31" s="10" t="n">
        <v>257</v>
      </c>
      <c r="N31" s="6" t="s">
        <v>615</v>
      </c>
      <c r="O31" s="6" t="s">
        <v>616</v>
      </c>
      <c r="P31" s="6" t="s">
        <v>616</v>
      </c>
      <c r="Q31" s="11" t="s">
        <v>617</v>
      </c>
      <c r="R31" s="11" t="s">
        <v>618</v>
      </c>
      <c r="S31" s="6" t="s">
        <v>619</v>
      </c>
      <c r="T31" s="6" t="s">
        <v>101</v>
      </c>
      <c r="U31" s="6" t="s">
        <v>620</v>
      </c>
      <c r="V31" s="6" t="s">
        <v>621</v>
      </c>
      <c r="W31" s="6" t="s">
        <v>103</v>
      </c>
      <c r="X31" s="6" t="s">
        <v>128</v>
      </c>
      <c r="Y31" s="6" t="s">
        <v>129</v>
      </c>
      <c r="Z31" s="6" t="s">
        <v>129</v>
      </c>
      <c r="AA31" s="6" t="s">
        <v>622</v>
      </c>
      <c r="AB31" s="6" t="s">
        <v>623</v>
      </c>
      <c r="AC31" s="11" t="s">
        <v>624</v>
      </c>
      <c r="AD31" s="6" t="s">
        <v>625</v>
      </c>
      <c r="AE31" s="6" t="s">
        <v>169</v>
      </c>
      <c r="AF31" s="6" t="s">
        <v>169</v>
      </c>
      <c r="AG31" s="6" t="s">
        <v>626</v>
      </c>
      <c r="AH31" s="6" t="s">
        <v>627</v>
      </c>
    </row>
    <row r="32" customFormat="false" ht="32.8" hidden="false" customHeight="false" outlineLevel="0" collapsed="false">
      <c r="A32" s="6" t="s">
        <v>628</v>
      </c>
      <c r="B32" s="6" t="s">
        <v>629</v>
      </c>
      <c r="C32" s="7" t="n">
        <v>45898</v>
      </c>
      <c r="D32" s="6"/>
      <c r="E32" s="6" t="str">
        <f aca="false">IF(AND(ISNUMBER(C32),ISNUMBER(D32)),ROUND((D32-C32)/30.44,1),"")</f>
        <v/>
      </c>
      <c r="F32" s="8" t="s">
        <v>630</v>
      </c>
      <c r="G32" s="6" t="s">
        <v>613</v>
      </c>
      <c r="H32" s="6" t="s">
        <v>614</v>
      </c>
      <c r="I32" s="6" t="s">
        <v>141</v>
      </c>
      <c r="J32" s="6" t="s">
        <v>631</v>
      </c>
      <c r="K32" s="6" t="s">
        <v>242</v>
      </c>
      <c r="L32" s="9" t="n">
        <v>1800</v>
      </c>
      <c r="M32" s="10" t="n">
        <v>263.7</v>
      </c>
      <c r="N32" s="11" t="s">
        <v>632</v>
      </c>
      <c r="O32" s="11" t="s">
        <v>633</v>
      </c>
      <c r="P32" s="11" t="s">
        <v>123</v>
      </c>
      <c r="Q32" s="11" t="s">
        <v>634</v>
      </c>
      <c r="R32" s="11" t="s">
        <v>635</v>
      </c>
      <c r="S32" s="6" t="s">
        <v>100</v>
      </c>
      <c r="T32" s="6" t="s">
        <v>636</v>
      </c>
      <c r="U32" s="6" t="s">
        <v>637</v>
      </c>
      <c r="V32" s="6" t="s">
        <v>75</v>
      </c>
      <c r="W32" s="11" t="s">
        <v>123</v>
      </c>
      <c r="X32" s="6" t="s">
        <v>128</v>
      </c>
      <c r="Y32" s="11" t="s">
        <v>638</v>
      </c>
      <c r="Z32" s="6" t="s">
        <v>129</v>
      </c>
      <c r="AA32" s="6" t="s">
        <v>639</v>
      </c>
      <c r="AB32" s="6" t="s">
        <v>640</v>
      </c>
      <c r="AC32" s="11" t="s">
        <v>123</v>
      </c>
      <c r="AD32" s="11" t="s">
        <v>641</v>
      </c>
      <c r="AE32" s="11" t="s">
        <v>642</v>
      </c>
      <c r="AF32" s="11" t="s">
        <v>643</v>
      </c>
      <c r="AG32" s="11" t="s">
        <v>644</v>
      </c>
      <c r="AH32" s="6" t="s">
        <v>645</v>
      </c>
    </row>
    <row r="33" customFormat="false" ht="43.25" hidden="false" customHeight="false" outlineLevel="0" collapsed="false">
      <c r="A33" s="6" t="s">
        <v>646</v>
      </c>
      <c r="B33" s="6" t="s">
        <v>647</v>
      </c>
      <c r="C33" s="7" t="n">
        <v>45649</v>
      </c>
      <c r="D33" s="7" t="n">
        <v>45701</v>
      </c>
      <c r="E33" s="6" t="n">
        <f aca="false">IF(AND(ISNUMBER(C33),ISNUMBER(D33)),ROUND((D33-C33)/30.44,1),"")</f>
        <v>1.7</v>
      </c>
      <c r="F33" s="12" t="s">
        <v>648</v>
      </c>
      <c r="G33" s="6" t="s">
        <v>649</v>
      </c>
      <c r="H33" s="6" t="s">
        <v>650</v>
      </c>
      <c r="I33" s="6" t="s">
        <v>651</v>
      </c>
      <c r="J33" s="6" t="s">
        <v>652</v>
      </c>
      <c r="K33" s="6" t="s">
        <v>653</v>
      </c>
      <c r="L33" s="6" t="s">
        <v>654</v>
      </c>
      <c r="M33" s="6" t="s">
        <v>655</v>
      </c>
      <c r="N33" s="6" t="s">
        <v>656</v>
      </c>
      <c r="O33" s="6" t="s">
        <v>169</v>
      </c>
      <c r="P33" s="6" t="s">
        <v>169</v>
      </c>
      <c r="Q33" s="6" t="s">
        <v>169</v>
      </c>
      <c r="R33" s="6" t="s">
        <v>169</v>
      </c>
      <c r="S33" s="6" t="s">
        <v>657</v>
      </c>
      <c r="T33" s="6" t="s">
        <v>75</v>
      </c>
      <c r="U33" s="6" t="s">
        <v>658</v>
      </c>
      <c r="V33" s="6" t="s">
        <v>75</v>
      </c>
      <c r="W33" s="6" t="s">
        <v>659</v>
      </c>
      <c r="X33" s="6" t="s">
        <v>660</v>
      </c>
      <c r="Y33" s="6" t="s">
        <v>129</v>
      </c>
      <c r="Z33" s="6" t="s">
        <v>129</v>
      </c>
      <c r="AA33" s="6" t="s">
        <v>661</v>
      </c>
      <c r="AB33" s="6" t="s">
        <v>662</v>
      </c>
      <c r="AC33" s="11" t="s">
        <v>663</v>
      </c>
      <c r="AD33" s="6" t="s">
        <v>664</v>
      </c>
      <c r="AE33" s="6" t="s">
        <v>169</v>
      </c>
      <c r="AF33" s="6" t="s">
        <v>169</v>
      </c>
      <c r="AG33" s="6" t="s">
        <v>158</v>
      </c>
      <c r="AH33" s="6" t="s">
        <v>665</v>
      </c>
    </row>
    <row r="34" customFormat="false" ht="32.8" hidden="false" customHeight="false" outlineLevel="0" collapsed="false">
      <c r="A34" s="6" t="s">
        <v>666</v>
      </c>
      <c r="B34" s="6" t="s">
        <v>667</v>
      </c>
      <c r="C34" s="7" t="n">
        <v>45637</v>
      </c>
      <c r="D34" s="7" t="n">
        <v>45839</v>
      </c>
      <c r="E34" s="6" t="n">
        <f aca="false">IF(AND(ISNUMBER(C34),ISNUMBER(D34)),ROUND((D34-C34)/30.44,1),"")</f>
        <v>6.6</v>
      </c>
      <c r="F34" s="8" t="s">
        <v>668</v>
      </c>
      <c r="G34" s="6" t="s">
        <v>669</v>
      </c>
      <c r="H34" s="6" t="s">
        <v>670</v>
      </c>
      <c r="I34" s="6" t="s">
        <v>671</v>
      </c>
      <c r="J34" s="6" t="s">
        <v>672</v>
      </c>
      <c r="K34" s="6" t="s">
        <v>673</v>
      </c>
      <c r="L34" s="9" t="n">
        <v>8200</v>
      </c>
      <c r="M34" s="6" t="s">
        <v>674</v>
      </c>
      <c r="N34" s="6" t="s">
        <v>675</v>
      </c>
      <c r="O34" s="6" t="s">
        <v>169</v>
      </c>
      <c r="P34" s="6" t="s">
        <v>169</v>
      </c>
      <c r="Q34" s="6" t="s">
        <v>169</v>
      </c>
      <c r="R34" s="6" t="s">
        <v>169</v>
      </c>
      <c r="S34" s="6" t="s">
        <v>100</v>
      </c>
      <c r="T34" s="6" t="s">
        <v>75</v>
      </c>
      <c r="U34" s="6" t="s">
        <v>103</v>
      </c>
      <c r="V34" s="6" t="s">
        <v>676</v>
      </c>
      <c r="W34" s="11" t="s">
        <v>677</v>
      </c>
      <c r="X34" s="6" t="s">
        <v>678</v>
      </c>
      <c r="Y34" s="6" t="s">
        <v>679</v>
      </c>
      <c r="Z34" s="6" t="s">
        <v>129</v>
      </c>
      <c r="AA34" s="6" t="s">
        <v>680</v>
      </c>
      <c r="AB34" s="6" t="s">
        <v>681</v>
      </c>
      <c r="AC34" s="6" t="s">
        <v>103</v>
      </c>
      <c r="AD34" s="11" t="s">
        <v>682</v>
      </c>
      <c r="AE34" s="6" t="s">
        <v>169</v>
      </c>
      <c r="AF34" s="6" t="s">
        <v>169</v>
      </c>
      <c r="AG34" s="6" t="s">
        <v>235</v>
      </c>
      <c r="AH34" s="6" t="s">
        <v>683</v>
      </c>
    </row>
    <row r="35" customFormat="false" ht="22.35" hidden="false" customHeight="false" outlineLevel="0" collapsed="false">
      <c r="A35" s="6" t="s">
        <v>684</v>
      </c>
      <c r="B35" s="6" t="s">
        <v>685</v>
      </c>
      <c r="C35" s="7" t="n">
        <v>45629</v>
      </c>
      <c r="D35" s="7" t="n">
        <v>45853</v>
      </c>
      <c r="E35" s="6" t="n">
        <f aca="false">IF(AND(ISNUMBER(C35),ISNUMBER(D35)),ROUND((D35-C35)/30.44,1),"")</f>
        <v>7.4</v>
      </c>
      <c r="F35" s="8" t="s">
        <v>668</v>
      </c>
      <c r="G35" s="6" t="s">
        <v>686</v>
      </c>
      <c r="H35" s="6" t="s">
        <v>242</v>
      </c>
      <c r="I35" s="6" t="s">
        <v>687</v>
      </c>
      <c r="J35" s="6" t="s">
        <v>688</v>
      </c>
      <c r="K35" s="6" t="s">
        <v>689</v>
      </c>
      <c r="L35" s="9" t="n">
        <v>4350</v>
      </c>
      <c r="M35" s="6" t="s">
        <v>690</v>
      </c>
      <c r="N35" s="6" t="s">
        <v>691</v>
      </c>
      <c r="O35" s="6" t="s">
        <v>169</v>
      </c>
      <c r="P35" s="6" t="s">
        <v>169</v>
      </c>
      <c r="Q35" s="6" t="s">
        <v>169</v>
      </c>
      <c r="R35" s="6" t="s">
        <v>169</v>
      </c>
      <c r="S35" s="6" t="s">
        <v>100</v>
      </c>
      <c r="T35" s="6" t="s">
        <v>75</v>
      </c>
      <c r="U35" s="6" t="s">
        <v>692</v>
      </c>
      <c r="V35" s="6" t="s">
        <v>75</v>
      </c>
      <c r="W35" s="6" t="s">
        <v>103</v>
      </c>
      <c r="X35" s="6" t="s">
        <v>693</v>
      </c>
      <c r="Y35" s="6" t="s">
        <v>129</v>
      </c>
      <c r="Z35" s="6" t="s">
        <v>129</v>
      </c>
      <c r="AA35" s="6" t="s">
        <v>694</v>
      </c>
      <c r="AB35" s="6" t="s">
        <v>695</v>
      </c>
      <c r="AC35" s="6" t="s">
        <v>103</v>
      </c>
      <c r="AD35" s="11" t="s">
        <v>696</v>
      </c>
      <c r="AE35" s="6" t="s">
        <v>169</v>
      </c>
      <c r="AF35" s="6" t="s">
        <v>169</v>
      </c>
      <c r="AG35" s="6" t="s">
        <v>235</v>
      </c>
      <c r="AH35" s="6"/>
    </row>
    <row r="36" customFormat="false" ht="32.8" hidden="false" customHeight="false" outlineLevel="0" collapsed="false">
      <c r="A36" s="6" t="s">
        <v>697</v>
      </c>
      <c r="B36" s="6" t="s">
        <v>299</v>
      </c>
      <c r="C36" s="7" t="n">
        <v>45306</v>
      </c>
      <c r="D36" s="7" t="n">
        <v>45657</v>
      </c>
      <c r="E36" s="6" t="n">
        <f aca="false">IF(AND(ISNUMBER(C36),ISNUMBER(D36)),ROUND((D36-C36)/30.44,1),"")</f>
        <v>11.5</v>
      </c>
      <c r="F36" s="8" t="s">
        <v>698</v>
      </c>
      <c r="G36" s="6" t="s">
        <v>699</v>
      </c>
      <c r="H36" s="6" t="s">
        <v>700</v>
      </c>
      <c r="I36" s="6" t="s">
        <v>701</v>
      </c>
      <c r="J36" s="6" t="s">
        <v>702</v>
      </c>
      <c r="K36" s="6" t="s">
        <v>169</v>
      </c>
      <c r="L36" s="11" t="s">
        <v>703</v>
      </c>
      <c r="M36" s="11" t="s">
        <v>123</v>
      </c>
      <c r="N36" s="6" t="s">
        <v>704</v>
      </c>
      <c r="O36" s="6" t="s">
        <v>169</v>
      </c>
      <c r="P36" s="6" t="s">
        <v>169</v>
      </c>
      <c r="Q36" s="6" t="s">
        <v>169</v>
      </c>
      <c r="R36" s="6" t="s">
        <v>169</v>
      </c>
      <c r="S36" s="6" t="s">
        <v>169</v>
      </c>
      <c r="T36" s="6" t="s">
        <v>75</v>
      </c>
      <c r="U36" s="6" t="s">
        <v>169</v>
      </c>
      <c r="V36" s="6" t="s">
        <v>75</v>
      </c>
      <c r="W36" s="11" t="s">
        <v>705</v>
      </c>
      <c r="X36" s="6" t="s">
        <v>129</v>
      </c>
      <c r="Y36" s="6" t="s">
        <v>129</v>
      </c>
      <c r="Z36" s="6" t="s">
        <v>129</v>
      </c>
      <c r="AA36" s="6" t="s">
        <v>706</v>
      </c>
      <c r="AB36" s="6" t="s">
        <v>707</v>
      </c>
      <c r="AC36" s="6" t="s">
        <v>708</v>
      </c>
      <c r="AD36" s="6" t="s">
        <v>709</v>
      </c>
      <c r="AE36" s="6" t="s">
        <v>169</v>
      </c>
      <c r="AF36" s="6" t="s">
        <v>169</v>
      </c>
      <c r="AG36" s="11" t="s">
        <v>710</v>
      </c>
      <c r="AH36" s="6"/>
    </row>
    <row r="37" customFormat="false" ht="22.35" hidden="false" customHeight="false" outlineLevel="0" collapsed="false">
      <c r="A37" s="6" t="s">
        <v>711</v>
      </c>
      <c r="B37" s="6" t="s">
        <v>299</v>
      </c>
      <c r="C37" s="7" t="n">
        <v>45444</v>
      </c>
      <c r="D37" s="6"/>
      <c r="E37" s="6" t="str">
        <f aca="false">IF(AND(ISNUMBER(C37),ISNUMBER(D37)),ROUND((D37-C37)/30.44,1),"")</f>
        <v/>
      </c>
      <c r="F37" s="8" t="s">
        <v>712</v>
      </c>
      <c r="G37" s="6" t="s">
        <v>713</v>
      </c>
      <c r="H37" s="6" t="s">
        <v>714</v>
      </c>
      <c r="I37" s="6" t="s">
        <v>715</v>
      </c>
      <c r="J37" s="6" t="s">
        <v>702</v>
      </c>
      <c r="K37" s="6" t="s">
        <v>169</v>
      </c>
      <c r="L37" s="11" t="s">
        <v>716</v>
      </c>
      <c r="M37" s="11" t="s">
        <v>123</v>
      </c>
      <c r="N37" s="6" t="s">
        <v>717</v>
      </c>
      <c r="O37" s="6" t="s">
        <v>169</v>
      </c>
      <c r="P37" s="6" t="s">
        <v>169</v>
      </c>
      <c r="Q37" s="6" t="s">
        <v>169</v>
      </c>
      <c r="R37" s="6" t="s">
        <v>169</v>
      </c>
      <c r="S37" s="6" t="s">
        <v>169</v>
      </c>
      <c r="T37" s="6" t="s">
        <v>75</v>
      </c>
      <c r="U37" s="6" t="s">
        <v>169</v>
      </c>
      <c r="V37" s="6" t="s">
        <v>75</v>
      </c>
      <c r="W37" s="11" t="s">
        <v>123</v>
      </c>
      <c r="X37" s="6" t="s">
        <v>129</v>
      </c>
      <c r="Y37" s="6" t="s">
        <v>129</v>
      </c>
      <c r="Z37" s="6" t="s">
        <v>129</v>
      </c>
      <c r="AA37" s="6" t="s">
        <v>129</v>
      </c>
      <c r="AB37" s="6" t="s">
        <v>718</v>
      </c>
      <c r="AC37" s="6" t="s">
        <v>708</v>
      </c>
      <c r="AD37" s="6" t="s">
        <v>719</v>
      </c>
      <c r="AE37" s="6" t="s">
        <v>169</v>
      </c>
      <c r="AF37" s="6" t="s">
        <v>169</v>
      </c>
      <c r="AG37" s="6" t="s">
        <v>235</v>
      </c>
      <c r="AH37" s="6"/>
    </row>
    <row r="38" customFormat="false" ht="32.8" hidden="false" customHeight="false" outlineLevel="0" collapsed="false">
      <c r="A38" s="6" t="s">
        <v>720</v>
      </c>
      <c r="B38" s="6" t="s">
        <v>299</v>
      </c>
      <c r="C38" s="7" t="n">
        <v>45566</v>
      </c>
      <c r="D38" s="6"/>
      <c r="E38" s="6" t="str">
        <f aca="false">IF(AND(ISNUMBER(C38),ISNUMBER(D38)),ROUND((D38-C38)/30.44,1),"")</f>
        <v/>
      </c>
      <c r="F38" s="8" t="s">
        <v>721</v>
      </c>
      <c r="G38" s="6" t="s">
        <v>722</v>
      </c>
      <c r="H38" s="6" t="s">
        <v>723</v>
      </c>
      <c r="I38" s="6" t="s">
        <v>724</v>
      </c>
      <c r="J38" s="6" t="s">
        <v>725</v>
      </c>
      <c r="K38" s="6" t="s">
        <v>169</v>
      </c>
      <c r="L38" s="6" t="s">
        <v>726</v>
      </c>
      <c r="M38" s="11" t="s">
        <v>123</v>
      </c>
      <c r="N38" s="6" t="s">
        <v>727</v>
      </c>
      <c r="O38" s="6" t="s">
        <v>169</v>
      </c>
      <c r="P38" s="6" t="s">
        <v>169</v>
      </c>
      <c r="Q38" s="6" t="s">
        <v>169</v>
      </c>
      <c r="R38" s="6" t="s">
        <v>169</v>
      </c>
      <c r="S38" s="6" t="s">
        <v>169</v>
      </c>
      <c r="T38" s="6" t="s">
        <v>75</v>
      </c>
      <c r="U38" s="6" t="s">
        <v>169</v>
      </c>
      <c r="V38" s="6" t="s">
        <v>728</v>
      </c>
      <c r="W38" s="11" t="s">
        <v>123</v>
      </c>
      <c r="X38" s="6" t="s">
        <v>129</v>
      </c>
      <c r="Y38" s="6" t="s">
        <v>129</v>
      </c>
      <c r="Z38" s="6" t="s">
        <v>129</v>
      </c>
      <c r="AA38" s="6" t="s">
        <v>129</v>
      </c>
      <c r="AB38" s="6" t="s">
        <v>729</v>
      </c>
      <c r="AC38" s="6" t="s">
        <v>708</v>
      </c>
      <c r="AD38" s="11" t="s">
        <v>730</v>
      </c>
      <c r="AE38" s="6" t="s">
        <v>169</v>
      </c>
      <c r="AF38" s="6" t="s">
        <v>169</v>
      </c>
      <c r="AG38" s="6" t="s">
        <v>235</v>
      </c>
      <c r="AH38" s="6"/>
    </row>
    <row r="39" customFormat="false" ht="32.8" hidden="false" customHeight="false" outlineLevel="0" collapsed="false">
      <c r="A39" s="6" t="s">
        <v>731</v>
      </c>
      <c r="B39" s="6" t="s">
        <v>732</v>
      </c>
      <c r="C39" s="7" t="n">
        <v>45200</v>
      </c>
      <c r="D39" s="7" t="n">
        <v>45838</v>
      </c>
      <c r="E39" s="6" t="n">
        <f aca="false">IF(AND(ISNUMBER(C39),ISNUMBER(D39)),ROUND((D39-C39)/30.44,1),"")</f>
        <v>21</v>
      </c>
      <c r="F39" s="8" t="s">
        <v>733</v>
      </c>
      <c r="G39" s="6" t="s">
        <v>734</v>
      </c>
      <c r="H39" s="6" t="s">
        <v>735</v>
      </c>
      <c r="I39" s="6" t="s">
        <v>736</v>
      </c>
      <c r="J39" s="6" t="s">
        <v>737</v>
      </c>
      <c r="K39" s="6" t="s">
        <v>169</v>
      </c>
      <c r="L39" s="11" t="s">
        <v>738</v>
      </c>
      <c r="M39" s="11" t="s">
        <v>123</v>
      </c>
      <c r="N39" s="6" t="s">
        <v>739</v>
      </c>
      <c r="O39" s="6" t="s">
        <v>169</v>
      </c>
      <c r="P39" s="6" t="s">
        <v>169</v>
      </c>
      <c r="Q39" s="6" t="s">
        <v>169</v>
      </c>
      <c r="R39" s="6" t="s">
        <v>169</v>
      </c>
      <c r="S39" s="6" t="s">
        <v>740</v>
      </c>
      <c r="T39" s="6" t="s">
        <v>75</v>
      </c>
      <c r="U39" s="6" t="s">
        <v>169</v>
      </c>
      <c r="V39" s="6" t="s">
        <v>741</v>
      </c>
      <c r="W39" s="11" t="s">
        <v>742</v>
      </c>
      <c r="X39" s="6" t="s">
        <v>129</v>
      </c>
      <c r="Y39" s="6" t="s">
        <v>129</v>
      </c>
      <c r="Z39" s="6" t="s">
        <v>129</v>
      </c>
      <c r="AA39" s="11" t="s">
        <v>743</v>
      </c>
      <c r="AB39" s="6" t="s">
        <v>744</v>
      </c>
      <c r="AC39" s="6" t="s">
        <v>745</v>
      </c>
      <c r="AD39" s="11" t="s">
        <v>746</v>
      </c>
      <c r="AE39" s="6" t="s">
        <v>169</v>
      </c>
      <c r="AF39" s="6" t="s">
        <v>169</v>
      </c>
      <c r="AG39" s="6" t="s">
        <v>235</v>
      </c>
      <c r="AH39" s="6"/>
    </row>
    <row r="40" customFormat="false" ht="22.35" hidden="false" customHeight="false" outlineLevel="0" collapsed="false">
      <c r="A40" s="6" t="s">
        <v>747</v>
      </c>
      <c r="B40" s="6" t="s">
        <v>748</v>
      </c>
      <c r="C40" s="7" t="n">
        <v>45413</v>
      </c>
      <c r="D40" s="7" t="n">
        <v>45747</v>
      </c>
      <c r="E40" s="6" t="n">
        <f aca="false">IF(AND(ISNUMBER(C40),ISNUMBER(D40)),ROUND((D40-C40)/30.44,1),"")</f>
        <v>11</v>
      </c>
      <c r="F40" s="8" t="s">
        <v>61</v>
      </c>
      <c r="G40" s="6" t="s">
        <v>749</v>
      </c>
      <c r="H40" s="6" t="s">
        <v>750</v>
      </c>
      <c r="I40" s="6" t="s">
        <v>751</v>
      </c>
      <c r="J40" s="6" t="s">
        <v>752</v>
      </c>
      <c r="K40" s="6" t="s">
        <v>169</v>
      </c>
      <c r="L40" s="11" t="s">
        <v>753</v>
      </c>
      <c r="M40" s="11" t="s">
        <v>123</v>
      </c>
      <c r="N40" s="6" t="s">
        <v>754</v>
      </c>
      <c r="O40" s="6" t="s">
        <v>169</v>
      </c>
      <c r="P40" s="6" t="s">
        <v>169</v>
      </c>
      <c r="Q40" s="6" t="s">
        <v>169</v>
      </c>
      <c r="R40" s="6" t="s">
        <v>169</v>
      </c>
      <c r="S40" s="6" t="s">
        <v>755</v>
      </c>
      <c r="T40" s="6" t="s">
        <v>75</v>
      </c>
      <c r="U40" s="6" t="s">
        <v>169</v>
      </c>
      <c r="V40" s="6" t="s">
        <v>756</v>
      </c>
      <c r="W40" s="6" t="s">
        <v>757</v>
      </c>
      <c r="X40" s="6" t="s">
        <v>129</v>
      </c>
      <c r="Y40" s="6" t="s">
        <v>129</v>
      </c>
      <c r="Z40" s="6" t="s">
        <v>129</v>
      </c>
      <c r="AA40" s="6" t="s">
        <v>758</v>
      </c>
      <c r="AB40" s="6" t="s">
        <v>759</v>
      </c>
      <c r="AC40" s="6" t="s">
        <v>760</v>
      </c>
      <c r="AD40" s="11" t="s">
        <v>761</v>
      </c>
      <c r="AE40" s="6" t="s">
        <v>169</v>
      </c>
      <c r="AF40" s="6" t="s">
        <v>169</v>
      </c>
      <c r="AG40" s="6" t="s">
        <v>762</v>
      </c>
      <c r="AH40" s="6" t="s">
        <v>763</v>
      </c>
    </row>
    <row r="41" customFormat="false" ht="22.35" hidden="false" customHeight="false" outlineLevel="0" collapsed="false">
      <c r="A41" s="6" t="s">
        <v>764</v>
      </c>
      <c r="B41" s="6" t="s">
        <v>765</v>
      </c>
      <c r="C41" s="7" t="n">
        <v>45695</v>
      </c>
      <c r="D41" s="7" t="n">
        <v>45931</v>
      </c>
      <c r="E41" s="6" t="n">
        <f aca="false">IF(AND(ISNUMBER(C41),ISNUMBER(D41)),ROUND((D41-C41)/30.44,1),"")</f>
        <v>7.8</v>
      </c>
      <c r="F41" s="8" t="s">
        <v>668</v>
      </c>
      <c r="G41" s="6" t="s">
        <v>766</v>
      </c>
      <c r="H41" s="6" t="s">
        <v>767</v>
      </c>
      <c r="I41" s="6" t="s">
        <v>768</v>
      </c>
      <c r="J41" s="6" t="s">
        <v>602</v>
      </c>
      <c r="K41" s="6" t="s">
        <v>242</v>
      </c>
      <c r="L41" s="9" t="n">
        <v>3300</v>
      </c>
      <c r="M41" s="10" t="n">
        <v>510</v>
      </c>
      <c r="N41" s="6" t="s">
        <v>769</v>
      </c>
      <c r="O41" s="6" t="s">
        <v>168</v>
      </c>
      <c r="P41" s="6" t="s">
        <v>169</v>
      </c>
      <c r="Q41" s="6" t="s">
        <v>169</v>
      </c>
      <c r="R41" s="6" t="s">
        <v>169</v>
      </c>
      <c r="S41" s="6" t="s">
        <v>770</v>
      </c>
      <c r="T41" s="6" t="s">
        <v>75</v>
      </c>
      <c r="U41" s="6" t="s">
        <v>692</v>
      </c>
      <c r="V41" s="6" t="s">
        <v>75</v>
      </c>
      <c r="W41" s="6" t="s">
        <v>169</v>
      </c>
      <c r="X41" s="6" t="s">
        <v>128</v>
      </c>
      <c r="Y41" s="11" t="s">
        <v>771</v>
      </c>
      <c r="Z41" s="6" t="s">
        <v>129</v>
      </c>
      <c r="AA41" s="6" t="s">
        <v>772</v>
      </c>
      <c r="AB41" s="6" t="s">
        <v>773</v>
      </c>
      <c r="AC41" s="6" t="s">
        <v>103</v>
      </c>
      <c r="AD41" s="11" t="s">
        <v>696</v>
      </c>
      <c r="AE41" s="6" t="s">
        <v>169</v>
      </c>
      <c r="AF41" s="6" t="s">
        <v>169</v>
      </c>
      <c r="AG41" s="6" t="s">
        <v>235</v>
      </c>
      <c r="AH41" s="6"/>
    </row>
    <row r="42" customFormat="false" ht="22.35" hidden="false" customHeight="false" outlineLevel="0" collapsed="false">
      <c r="A42" s="6" t="s">
        <v>774</v>
      </c>
      <c r="B42" s="6" t="s">
        <v>775</v>
      </c>
      <c r="C42" s="7" t="n">
        <v>45744</v>
      </c>
      <c r="D42" s="7" t="n">
        <v>45930</v>
      </c>
      <c r="E42" s="6" t="n">
        <f aca="false">IF(AND(ISNUMBER(C42),ISNUMBER(D42)),ROUND((D42-C42)/30.44,1),"")</f>
        <v>6.1</v>
      </c>
      <c r="F42" s="8" t="s">
        <v>776</v>
      </c>
      <c r="G42" s="6" t="s">
        <v>777</v>
      </c>
      <c r="H42" s="6" t="s">
        <v>778</v>
      </c>
      <c r="I42" s="6" t="s">
        <v>779</v>
      </c>
      <c r="J42" s="6" t="s">
        <v>780</v>
      </c>
      <c r="K42" s="6" t="s">
        <v>781</v>
      </c>
      <c r="L42" s="9" t="n">
        <v>2300</v>
      </c>
      <c r="M42" s="10" t="n">
        <v>350</v>
      </c>
      <c r="N42" s="11" t="s">
        <v>782</v>
      </c>
      <c r="O42" s="6" t="s">
        <v>783</v>
      </c>
      <c r="P42" s="11" t="s">
        <v>123</v>
      </c>
      <c r="Q42" s="11" t="s">
        <v>123</v>
      </c>
      <c r="R42" s="11" t="s">
        <v>784</v>
      </c>
      <c r="S42" s="6" t="s">
        <v>100</v>
      </c>
      <c r="T42" s="6" t="s">
        <v>101</v>
      </c>
      <c r="U42" s="11" t="s">
        <v>785</v>
      </c>
      <c r="V42" s="6" t="s">
        <v>75</v>
      </c>
      <c r="W42" s="11" t="s">
        <v>786</v>
      </c>
      <c r="X42" s="6" t="s">
        <v>128</v>
      </c>
      <c r="Y42" s="11" t="s">
        <v>787</v>
      </c>
      <c r="Z42" s="6" t="s">
        <v>788</v>
      </c>
      <c r="AA42" s="6" t="s">
        <v>789</v>
      </c>
      <c r="AB42" s="6" t="s">
        <v>790</v>
      </c>
      <c r="AC42" s="6" t="s">
        <v>791</v>
      </c>
      <c r="AD42" s="11" t="s">
        <v>792</v>
      </c>
      <c r="AE42" s="6" t="s">
        <v>110</v>
      </c>
      <c r="AF42" s="11" t="s">
        <v>558</v>
      </c>
      <c r="AG42" s="6" t="s">
        <v>235</v>
      </c>
      <c r="AH42" s="6"/>
    </row>
    <row r="43" customFormat="false" ht="22.35" hidden="false" customHeight="false" outlineLevel="0" collapsed="false">
      <c r="A43" s="6" t="s">
        <v>793</v>
      </c>
      <c r="B43" s="6" t="s">
        <v>794</v>
      </c>
      <c r="C43" s="7" t="n">
        <v>45785</v>
      </c>
      <c r="D43" s="7" t="n">
        <v>45867</v>
      </c>
      <c r="E43" s="6" t="n">
        <f aca="false">IF(AND(ISNUMBER(C43),ISNUMBER(D43)),ROUND((D43-C43)/30.44,1),"")</f>
        <v>2.7</v>
      </c>
      <c r="F43" s="8" t="s">
        <v>61</v>
      </c>
      <c r="G43" s="6" t="s">
        <v>795</v>
      </c>
      <c r="H43" s="6" t="s">
        <v>796</v>
      </c>
      <c r="I43" s="6" t="s">
        <v>797</v>
      </c>
      <c r="J43" s="6" t="s">
        <v>798</v>
      </c>
      <c r="K43" s="6" t="s">
        <v>799</v>
      </c>
      <c r="L43" s="9" t="n">
        <v>16300</v>
      </c>
      <c r="M43" s="10" t="n">
        <v>2370</v>
      </c>
      <c r="N43" s="6" t="s">
        <v>800</v>
      </c>
      <c r="O43" s="6" t="s">
        <v>801</v>
      </c>
      <c r="P43" s="6" t="s">
        <v>801</v>
      </c>
      <c r="Q43" s="11" t="s">
        <v>802</v>
      </c>
      <c r="R43" s="11" t="s">
        <v>417</v>
      </c>
      <c r="S43" s="6" t="s">
        <v>100</v>
      </c>
      <c r="T43" s="6" t="s">
        <v>101</v>
      </c>
      <c r="U43" s="6" t="s">
        <v>103</v>
      </c>
      <c r="V43" s="6" t="s">
        <v>75</v>
      </c>
      <c r="W43" s="6" t="s">
        <v>803</v>
      </c>
      <c r="X43" s="6" t="s">
        <v>128</v>
      </c>
      <c r="Y43" s="11" t="s">
        <v>771</v>
      </c>
      <c r="Z43" s="6" t="s">
        <v>129</v>
      </c>
      <c r="AA43" s="6" t="s">
        <v>804</v>
      </c>
      <c r="AB43" s="6" t="s">
        <v>805</v>
      </c>
      <c r="AC43" s="6" t="s">
        <v>232</v>
      </c>
      <c r="AD43" s="11" t="s">
        <v>806</v>
      </c>
      <c r="AE43" s="6" t="s">
        <v>110</v>
      </c>
      <c r="AF43" s="11" t="s">
        <v>807</v>
      </c>
      <c r="AG43" s="11" t="s">
        <v>559</v>
      </c>
      <c r="AH43" s="6"/>
    </row>
    <row r="44" customFormat="false" ht="43.25" hidden="false" customHeight="false" outlineLevel="0" collapsed="false">
      <c r="A44" s="6" t="s">
        <v>808</v>
      </c>
      <c r="B44" s="6" t="s">
        <v>809</v>
      </c>
      <c r="C44" s="7" t="n">
        <v>45811</v>
      </c>
      <c r="D44" s="7" t="n">
        <v>46112</v>
      </c>
      <c r="E44" s="6" t="n">
        <f aca="false">IF(AND(ISNUMBER(C44),ISNUMBER(D44)),ROUND((D44-C44)/30.44,1),"")</f>
        <v>9.9</v>
      </c>
      <c r="F44" s="8" t="s">
        <v>810</v>
      </c>
      <c r="G44" s="6" t="s">
        <v>811</v>
      </c>
      <c r="H44" s="6" t="s">
        <v>812</v>
      </c>
      <c r="I44" s="6" t="s">
        <v>813</v>
      </c>
      <c r="J44" s="6" t="s">
        <v>814</v>
      </c>
      <c r="K44" s="6" t="s">
        <v>815</v>
      </c>
      <c r="L44" s="9" t="n">
        <v>31200</v>
      </c>
      <c r="M44" s="10" t="n">
        <v>4700</v>
      </c>
      <c r="N44" s="6" t="s">
        <v>816</v>
      </c>
      <c r="O44" s="6" t="s">
        <v>817</v>
      </c>
      <c r="P44" s="6" t="s">
        <v>818</v>
      </c>
      <c r="Q44" s="11" t="s">
        <v>819</v>
      </c>
      <c r="R44" s="11" t="s">
        <v>820</v>
      </c>
      <c r="S44" s="6" t="s">
        <v>821</v>
      </c>
      <c r="T44" s="6" t="s">
        <v>101</v>
      </c>
      <c r="U44" s="6" t="s">
        <v>822</v>
      </c>
      <c r="V44" s="6" t="s">
        <v>75</v>
      </c>
      <c r="W44" s="11" t="s">
        <v>823</v>
      </c>
      <c r="X44" s="6" t="s">
        <v>128</v>
      </c>
      <c r="Y44" s="11" t="s">
        <v>771</v>
      </c>
      <c r="Z44" s="6" t="s">
        <v>129</v>
      </c>
      <c r="AA44" s="6" t="s">
        <v>824</v>
      </c>
      <c r="AB44" s="6" t="s">
        <v>825</v>
      </c>
      <c r="AC44" s="11" t="s">
        <v>826</v>
      </c>
      <c r="AD44" s="6" t="s">
        <v>827</v>
      </c>
      <c r="AE44" s="6" t="s">
        <v>828</v>
      </c>
      <c r="AF44" s="11" t="s">
        <v>829</v>
      </c>
      <c r="AG44" s="6" t="s">
        <v>830</v>
      </c>
      <c r="AH44" s="6" t="s">
        <v>831</v>
      </c>
    </row>
    <row r="45" customFormat="false" ht="43.25" hidden="false" customHeight="false" outlineLevel="0" collapsed="false">
      <c r="A45" s="6" t="s">
        <v>832</v>
      </c>
      <c r="B45" s="6" t="s">
        <v>833</v>
      </c>
      <c r="C45" s="7" t="n">
        <v>45693</v>
      </c>
      <c r="D45" s="7" t="n">
        <v>45950</v>
      </c>
      <c r="E45" s="6" t="n">
        <f aca="false">IF(AND(ISNUMBER(C45),ISNUMBER(D45)),ROUND((D45-C45)/30.44,1),"")</f>
        <v>8.4</v>
      </c>
      <c r="F45" s="8" t="s">
        <v>834</v>
      </c>
      <c r="G45" s="6" t="s">
        <v>835</v>
      </c>
      <c r="H45" s="6" t="s">
        <v>836</v>
      </c>
      <c r="I45" s="6" t="s">
        <v>837</v>
      </c>
      <c r="J45" s="6" t="s">
        <v>838</v>
      </c>
      <c r="K45" s="6" t="s">
        <v>839</v>
      </c>
      <c r="L45" s="9" t="n">
        <v>740</v>
      </c>
      <c r="M45" s="10" t="n">
        <v>110</v>
      </c>
      <c r="N45" s="6" t="s">
        <v>840</v>
      </c>
      <c r="O45" s="6" t="s">
        <v>841</v>
      </c>
      <c r="P45" s="6" t="s">
        <v>842</v>
      </c>
      <c r="Q45" s="11" t="s">
        <v>843</v>
      </c>
      <c r="R45" s="11" t="s">
        <v>844</v>
      </c>
      <c r="S45" s="6" t="s">
        <v>845</v>
      </c>
      <c r="T45" s="6" t="s">
        <v>101</v>
      </c>
      <c r="U45" s="6" t="s">
        <v>846</v>
      </c>
      <c r="V45" s="6" t="s">
        <v>75</v>
      </c>
      <c r="W45" s="6" t="s">
        <v>103</v>
      </c>
      <c r="X45" s="6" t="s">
        <v>847</v>
      </c>
      <c r="Y45" s="6" t="s">
        <v>128</v>
      </c>
      <c r="Z45" s="11" t="s">
        <v>848</v>
      </c>
      <c r="AA45" s="6" t="s">
        <v>849</v>
      </c>
      <c r="AB45" s="6" t="s">
        <v>850</v>
      </c>
      <c r="AC45" s="6" t="s">
        <v>851</v>
      </c>
      <c r="AD45" s="6" t="s">
        <v>852</v>
      </c>
      <c r="AE45" s="6" t="s">
        <v>110</v>
      </c>
      <c r="AF45" s="6" t="s">
        <v>853</v>
      </c>
      <c r="AG45" s="6" t="s">
        <v>854</v>
      </c>
      <c r="AH45" s="6" t="s">
        <v>855</v>
      </c>
    </row>
    <row r="46" customFormat="false" ht="22.35" hidden="false" customHeight="false" outlineLevel="0" collapsed="false">
      <c r="A46" s="6" t="s">
        <v>856</v>
      </c>
      <c r="B46" s="6" t="s">
        <v>857</v>
      </c>
      <c r="C46" s="7" t="n">
        <v>45722</v>
      </c>
      <c r="D46" s="7" t="n">
        <v>45901</v>
      </c>
      <c r="E46" s="6" t="n">
        <f aca="false">IF(AND(ISNUMBER(C46),ISNUMBER(D46)),ROUND((D46-C46)/30.44,1),"")</f>
        <v>5.9</v>
      </c>
      <c r="F46" s="8" t="s">
        <v>61</v>
      </c>
      <c r="G46" s="6" t="s">
        <v>858</v>
      </c>
      <c r="H46" s="6" t="s">
        <v>163</v>
      </c>
      <c r="I46" s="6" t="s">
        <v>859</v>
      </c>
      <c r="J46" s="6" t="s">
        <v>860</v>
      </c>
      <c r="K46" s="6" t="s">
        <v>242</v>
      </c>
      <c r="L46" s="9" t="n">
        <v>5400</v>
      </c>
      <c r="M46" s="10" t="n">
        <v>814.7</v>
      </c>
      <c r="N46" s="6" t="s">
        <v>861</v>
      </c>
      <c r="O46" s="6" t="s">
        <v>169</v>
      </c>
      <c r="P46" s="6" t="s">
        <v>169</v>
      </c>
      <c r="Q46" s="6" t="s">
        <v>169</v>
      </c>
      <c r="R46" s="6" t="s">
        <v>169</v>
      </c>
      <c r="S46" s="6" t="s">
        <v>862</v>
      </c>
      <c r="T46" s="6" t="s">
        <v>863</v>
      </c>
      <c r="U46" s="11" t="s">
        <v>864</v>
      </c>
      <c r="V46" s="6" t="s">
        <v>75</v>
      </c>
      <c r="W46" s="6" t="s">
        <v>169</v>
      </c>
      <c r="X46" s="6" t="s">
        <v>128</v>
      </c>
      <c r="Y46" s="6" t="s">
        <v>129</v>
      </c>
      <c r="Z46" s="6" t="s">
        <v>129</v>
      </c>
      <c r="AA46" s="6" t="s">
        <v>865</v>
      </c>
      <c r="AB46" s="6" t="s">
        <v>866</v>
      </c>
      <c r="AC46" s="6" t="s">
        <v>867</v>
      </c>
      <c r="AD46" s="6" t="s">
        <v>868</v>
      </c>
      <c r="AE46" s="6" t="s">
        <v>169</v>
      </c>
      <c r="AF46" s="6" t="s">
        <v>169</v>
      </c>
      <c r="AG46" s="6" t="s">
        <v>158</v>
      </c>
      <c r="AH46" s="6" t="s">
        <v>869</v>
      </c>
    </row>
    <row r="47" customFormat="false" ht="22.35" hidden="false" customHeight="false" outlineLevel="0" collapsed="false">
      <c r="A47" s="6" t="s">
        <v>870</v>
      </c>
      <c r="B47" s="6" t="s">
        <v>667</v>
      </c>
      <c r="C47" s="7" t="n">
        <v>45770</v>
      </c>
      <c r="D47" s="6"/>
      <c r="E47" s="6" t="str">
        <f aca="false">IF(AND(ISNUMBER(C47),ISNUMBER(D47)),ROUND((D47-C47)/30.44,1),"")</f>
        <v/>
      </c>
      <c r="F47" s="8" t="s">
        <v>871</v>
      </c>
      <c r="G47" s="6" t="s">
        <v>872</v>
      </c>
      <c r="H47" s="6" t="s">
        <v>873</v>
      </c>
      <c r="I47" s="6" t="s">
        <v>874</v>
      </c>
      <c r="J47" s="6" t="s">
        <v>875</v>
      </c>
      <c r="K47" s="6" t="s">
        <v>876</v>
      </c>
      <c r="L47" s="9" t="n">
        <v>3500</v>
      </c>
      <c r="M47" s="6" t="s">
        <v>877</v>
      </c>
      <c r="N47" s="11" t="s">
        <v>878</v>
      </c>
      <c r="O47" s="11" t="s">
        <v>879</v>
      </c>
      <c r="P47" s="11" t="s">
        <v>123</v>
      </c>
      <c r="Q47" s="11" t="s">
        <v>123</v>
      </c>
      <c r="R47" s="11" t="s">
        <v>123</v>
      </c>
      <c r="S47" s="6" t="s">
        <v>100</v>
      </c>
      <c r="T47" s="6" t="s">
        <v>75</v>
      </c>
      <c r="U47" s="6" t="s">
        <v>103</v>
      </c>
      <c r="V47" s="6" t="s">
        <v>75</v>
      </c>
      <c r="W47" s="6" t="s">
        <v>103</v>
      </c>
      <c r="X47" s="6" t="s">
        <v>880</v>
      </c>
      <c r="Y47" s="11" t="s">
        <v>881</v>
      </c>
      <c r="Z47" s="6" t="s">
        <v>129</v>
      </c>
      <c r="AA47" s="6" t="s">
        <v>882</v>
      </c>
      <c r="AB47" s="6" t="s">
        <v>883</v>
      </c>
      <c r="AC47" s="6" t="s">
        <v>103</v>
      </c>
      <c r="AD47" s="11" t="s">
        <v>884</v>
      </c>
      <c r="AE47" s="6" t="s">
        <v>885</v>
      </c>
      <c r="AF47" s="11" t="s">
        <v>123</v>
      </c>
      <c r="AG47" s="6" t="s">
        <v>235</v>
      </c>
      <c r="AH47" s="6"/>
    </row>
    <row r="48" customFormat="false" ht="22.35" hidden="false" customHeight="false" outlineLevel="0" collapsed="false">
      <c r="A48" s="6" t="s">
        <v>886</v>
      </c>
      <c r="B48" s="6" t="s">
        <v>887</v>
      </c>
      <c r="C48" s="7" t="n">
        <v>45769</v>
      </c>
      <c r="D48" s="6"/>
      <c r="E48" s="6" t="str">
        <f aca="false">IF(AND(ISNUMBER(C48),ISNUMBER(D48)),ROUND((D48-C48)/30.44,1),"")</f>
        <v/>
      </c>
      <c r="F48" s="8" t="s">
        <v>871</v>
      </c>
      <c r="G48" s="6" t="s">
        <v>888</v>
      </c>
      <c r="H48" s="6" t="s">
        <v>889</v>
      </c>
      <c r="I48" s="6" t="s">
        <v>890</v>
      </c>
      <c r="J48" s="6" t="s">
        <v>891</v>
      </c>
      <c r="K48" s="6" t="s">
        <v>892</v>
      </c>
      <c r="L48" s="9" t="n">
        <v>1800</v>
      </c>
      <c r="M48" s="6" t="s">
        <v>893</v>
      </c>
      <c r="N48" s="6" t="s">
        <v>894</v>
      </c>
      <c r="O48" s="6" t="s">
        <v>169</v>
      </c>
      <c r="P48" s="6" t="s">
        <v>169</v>
      </c>
      <c r="Q48" s="6" t="s">
        <v>169</v>
      </c>
      <c r="R48" s="6" t="s">
        <v>169</v>
      </c>
      <c r="S48" s="6" t="s">
        <v>100</v>
      </c>
      <c r="T48" s="6" t="s">
        <v>75</v>
      </c>
      <c r="U48" s="6" t="s">
        <v>103</v>
      </c>
      <c r="V48" s="6" t="s">
        <v>75</v>
      </c>
      <c r="W48" s="6" t="s">
        <v>103</v>
      </c>
      <c r="X48" s="6" t="s">
        <v>895</v>
      </c>
      <c r="Y48" s="6" t="s">
        <v>896</v>
      </c>
      <c r="Z48" s="6" t="s">
        <v>129</v>
      </c>
      <c r="AA48" s="6" t="s">
        <v>897</v>
      </c>
      <c r="AB48" s="6" t="s">
        <v>898</v>
      </c>
      <c r="AC48" s="6" t="s">
        <v>103</v>
      </c>
      <c r="AD48" s="11" t="s">
        <v>899</v>
      </c>
      <c r="AE48" s="6" t="s">
        <v>169</v>
      </c>
      <c r="AF48" s="6" t="s">
        <v>169</v>
      </c>
      <c r="AG48" s="6" t="s">
        <v>235</v>
      </c>
      <c r="AH48" s="6"/>
    </row>
    <row r="49" customFormat="false" ht="22.35" hidden="false" customHeight="false" outlineLevel="0" collapsed="false">
      <c r="A49" s="6" t="s">
        <v>900</v>
      </c>
      <c r="B49" s="6" t="s">
        <v>901</v>
      </c>
      <c r="C49" s="7" t="n">
        <v>45735</v>
      </c>
      <c r="D49" s="6"/>
      <c r="E49" s="6" t="str">
        <f aca="false">IF(AND(ISNUMBER(C49),ISNUMBER(D49)),ROUND((D49-C49)/30.44,1),"")</f>
        <v/>
      </c>
      <c r="F49" s="8" t="s">
        <v>902</v>
      </c>
      <c r="G49" s="6" t="s">
        <v>903</v>
      </c>
      <c r="H49" s="6" t="s">
        <v>904</v>
      </c>
      <c r="I49" s="6" t="s">
        <v>905</v>
      </c>
      <c r="J49" s="6" t="s">
        <v>906</v>
      </c>
      <c r="K49" s="6" t="s">
        <v>907</v>
      </c>
      <c r="L49" s="9" t="n">
        <v>6500</v>
      </c>
      <c r="M49" s="6" t="s">
        <v>908</v>
      </c>
      <c r="N49" s="6" t="s">
        <v>909</v>
      </c>
      <c r="O49" s="6" t="s">
        <v>169</v>
      </c>
      <c r="P49" s="6" t="s">
        <v>169</v>
      </c>
      <c r="Q49" s="6" t="s">
        <v>169</v>
      </c>
      <c r="R49" s="6" t="s">
        <v>169</v>
      </c>
      <c r="S49" s="6" t="s">
        <v>100</v>
      </c>
      <c r="T49" s="6" t="s">
        <v>75</v>
      </c>
      <c r="U49" s="6" t="s">
        <v>103</v>
      </c>
      <c r="V49" s="6" t="s">
        <v>75</v>
      </c>
      <c r="W49" s="6" t="s">
        <v>910</v>
      </c>
      <c r="X49" s="11" t="s">
        <v>911</v>
      </c>
      <c r="Y49" s="6" t="s">
        <v>912</v>
      </c>
      <c r="Z49" s="6" t="s">
        <v>129</v>
      </c>
      <c r="AA49" s="6" t="s">
        <v>913</v>
      </c>
      <c r="AB49" s="6" t="s">
        <v>914</v>
      </c>
      <c r="AC49" s="6" t="s">
        <v>915</v>
      </c>
      <c r="AD49" s="11" t="s">
        <v>696</v>
      </c>
      <c r="AE49" s="6" t="s">
        <v>169</v>
      </c>
      <c r="AF49" s="6" t="s">
        <v>169</v>
      </c>
      <c r="AG49" s="6" t="s">
        <v>235</v>
      </c>
      <c r="AH49" s="6"/>
    </row>
    <row r="50" customFormat="false" ht="22.35" hidden="false" customHeight="false" outlineLevel="0" collapsed="false">
      <c r="A50" s="6" t="s">
        <v>916</v>
      </c>
      <c r="B50" s="6" t="s">
        <v>917</v>
      </c>
      <c r="C50" s="7" t="n">
        <v>45938</v>
      </c>
      <c r="D50" s="6"/>
      <c r="E50" s="6" t="str">
        <f aca="false">IF(AND(ISNUMBER(C50),ISNUMBER(D50)),ROUND((D50-C50)/30.44,1),"")</f>
        <v/>
      </c>
      <c r="F50" s="13" t="s">
        <v>918</v>
      </c>
      <c r="G50" s="6" t="s">
        <v>919</v>
      </c>
      <c r="H50" s="6" t="s">
        <v>920</v>
      </c>
      <c r="I50" s="6" t="s">
        <v>921</v>
      </c>
      <c r="J50" s="6" t="s">
        <v>906</v>
      </c>
      <c r="K50" s="6" t="s">
        <v>907</v>
      </c>
      <c r="L50" s="9" t="n">
        <v>5375</v>
      </c>
      <c r="M50" s="6" t="s">
        <v>922</v>
      </c>
      <c r="N50" s="6" t="s">
        <v>923</v>
      </c>
      <c r="O50" s="6" t="s">
        <v>169</v>
      </c>
      <c r="P50" s="6" t="s">
        <v>169</v>
      </c>
      <c r="Q50" s="6" t="s">
        <v>169</v>
      </c>
      <c r="R50" s="6" t="s">
        <v>169</v>
      </c>
      <c r="S50" s="6" t="s">
        <v>924</v>
      </c>
      <c r="T50" s="6" t="s">
        <v>75</v>
      </c>
      <c r="U50" s="6" t="s">
        <v>925</v>
      </c>
      <c r="V50" s="6" t="s">
        <v>75</v>
      </c>
      <c r="W50" s="6" t="s">
        <v>103</v>
      </c>
      <c r="X50" s="6" t="s">
        <v>926</v>
      </c>
      <c r="Y50" s="6" t="s">
        <v>927</v>
      </c>
      <c r="Z50" s="6" t="s">
        <v>129</v>
      </c>
      <c r="AA50" s="6" t="s">
        <v>928</v>
      </c>
      <c r="AB50" s="6" t="s">
        <v>929</v>
      </c>
      <c r="AC50" s="6" t="s">
        <v>129</v>
      </c>
      <c r="AD50" s="6" t="s">
        <v>930</v>
      </c>
      <c r="AE50" s="6" t="s">
        <v>169</v>
      </c>
      <c r="AF50" s="6" t="s">
        <v>169</v>
      </c>
      <c r="AG50" s="6" t="s">
        <v>158</v>
      </c>
      <c r="AH50" s="6"/>
    </row>
    <row r="51" customFormat="false" ht="22.35" hidden="false" customHeight="false" outlineLevel="0" collapsed="false">
      <c r="A51" s="6" t="s">
        <v>931</v>
      </c>
      <c r="B51" s="6" t="s">
        <v>932</v>
      </c>
      <c r="C51" s="7" t="n">
        <v>45901</v>
      </c>
      <c r="D51" s="6"/>
      <c r="E51" s="6" t="str">
        <f aca="false">IF(AND(ISNUMBER(C51),ISNUMBER(D51)),ROUND((D51-C51)/30.44,1),"")</f>
        <v/>
      </c>
      <c r="F51" s="13" t="s">
        <v>933</v>
      </c>
      <c r="G51" s="6" t="s">
        <v>934</v>
      </c>
      <c r="H51" s="6" t="s">
        <v>935</v>
      </c>
      <c r="I51" s="6" t="s">
        <v>936</v>
      </c>
      <c r="J51" s="6" t="s">
        <v>937</v>
      </c>
      <c r="K51" s="6" t="s">
        <v>938</v>
      </c>
      <c r="L51" s="9" t="n">
        <v>7400</v>
      </c>
      <c r="M51" s="6" t="s">
        <v>939</v>
      </c>
      <c r="N51" s="6" t="s">
        <v>940</v>
      </c>
      <c r="O51" s="11" t="s">
        <v>941</v>
      </c>
      <c r="P51" s="11" t="s">
        <v>123</v>
      </c>
      <c r="Q51" s="11" t="s">
        <v>123</v>
      </c>
      <c r="R51" s="11" t="s">
        <v>942</v>
      </c>
      <c r="S51" s="6" t="s">
        <v>100</v>
      </c>
      <c r="T51" s="6" t="s">
        <v>75</v>
      </c>
      <c r="U51" s="11" t="s">
        <v>123</v>
      </c>
      <c r="V51" s="6" t="s">
        <v>75</v>
      </c>
      <c r="W51" s="6" t="s">
        <v>943</v>
      </c>
      <c r="X51" s="6" t="s">
        <v>944</v>
      </c>
      <c r="Y51" s="11" t="s">
        <v>945</v>
      </c>
      <c r="Z51" s="6" t="s">
        <v>129</v>
      </c>
      <c r="AA51" s="6" t="s">
        <v>946</v>
      </c>
      <c r="AB51" s="6" t="s">
        <v>947</v>
      </c>
      <c r="AC51" s="11" t="s">
        <v>123</v>
      </c>
      <c r="AD51" s="6" t="s">
        <v>948</v>
      </c>
      <c r="AE51" s="6" t="s">
        <v>885</v>
      </c>
      <c r="AF51" s="6" t="s">
        <v>949</v>
      </c>
      <c r="AG51" s="6" t="s">
        <v>950</v>
      </c>
      <c r="AH51" s="6"/>
    </row>
    <row r="52" customFormat="false" ht="22.35" hidden="false" customHeight="false" outlineLevel="0" collapsed="false">
      <c r="A52" s="6" t="s">
        <v>951</v>
      </c>
      <c r="B52" s="6" t="s">
        <v>583</v>
      </c>
      <c r="C52" s="7" t="n">
        <v>45960</v>
      </c>
      <c r="D52" s="7" t="n">
        <v>46112</v>
      </c>
      <c r="E52" s="6" t="n">
        <f aca="false">IF(AND(ISNUMBER(C52),ISNUMBER(D52)),ROUND((D52-C52)/30.44,1),"")</f>
        <v>5</v>
      </c>
      <c r="F52" s="8" t="s">
        <v>61</v>
      </c>
      <c r="G52" s="6" t="s">
        <v>952</v>
      </c>
      <c r="H52" s="6" t="s">
        <v>953</v>
      </c>
      <c r="I52" s="6" t="s">
        <v>797</v>
      </c>
      <c r="J52" s="6" t="s">
        <v>713</v>
      </c>
      <c r="K52" s="6" t="s">
        <v>954</v>
      </c>
      <c r="L52" s="9" t="n">
        <v>5880</v>
      </c>
      <c r="M52" s="6" t="s">
        <v>955</v>
      </c>
      <c r="N52" s="6" t="s">
        <v>956</v>
      </c>
      <c r="O52" s="11" t="s">
        <v>123</v>
      </c>
      <c r="P52" s="11" t="s">
        <v>123</v>
      </c>
      <c r="Q52" s="11" t="s">
        <v>123</v>
      </c>
      <c r="R52" s="11" t="s">
        <v>123</v>
      </c>
      <c r="S52" s="6" t="s">
        <v>100</v>
      </c>
      <c r="T52" s="6" t="s">
        <v>101</v>
      </c>
      <c r="U52" s="6" t="s">
        <v>103</v>
      </c>
      <c r="V52" s="6" t="s">
        <v>75</v>
      </c>
      <c r="W52" s="6" t="s">
        <v>957</v>
      </c>
      <c r="X52" s="6" t="s">
        <v>128</v>
      </c>
      <c r="Y52" s="6" t="s">
        <v>129</v>
      </c>
      <c r="Z52" s="6" t="s">
        <v>129</v>
      </c>
      <c r="AA52" s="6" t="s">
        <v>958</v>
      </c>
      <c r="AB52" s="6" t="s">
        <v>959</v>
      </c>
      <c r="AC52" s="11" t="s">
        <v>123</v>
      </c>
      <c r="AD52" s="6" t="s">
        <v>960</v>
      </c>
      <c r="AE52" s="6" t="s">
        <v>110</v>
      </c>
      <c r="AF52" s="11" t="s">
        <v>961</v>
      </c>
      <c r="AG52" s="6" t="s">
        <v>962</v>
      </c>
      <c r="AH52" s="11" t="s">
        <v>963</v>
      </c>
    </row>
    <row r="53" customFormat="false" ht="22.35" hidden="false" customHeight="false" outlineLevel="0" collapsed="false">
      <c r="A53" s="6" t="s">
        <v>964</v>
      </c>
      <c r="B53" s="6" t="s">
        <v>965</v>
      </c>
      <c r="C53" s="7" t="n">
        <v>45945</v>
      </c>
      <c r="D53" s="7" t="n">
        <v>46112</v>
      </c>
      <c r="E53" s="6" t="n">
        <f aca="false">IF(AND(ISNUMBER(C53),ISNUMBER(D53)),ROUND((D53-C53)/30.44,1),"")</f>
        <v>5.5</v>
      </c>
      <c r="F53" s="8" t="s">
        <v>61</v>
      </c>
      <c r="G53" s="6" t="s">
        <v>966</v>
      </c>
      <c r="H53" s="6" t="s">
        <v>967</v>
      </c>
      <c r="I53" s="6" t="s">
        <v>968</v>
      </c>
      <c r="J53" s="6" t="s">
        <v>969</v>
      </c>
      <c r="K53" s="6" t="s">
        <v>970</v>
      </c>
      <c r="L53" s="9" t="n">
        <v>1130</v>
      </c>
      <c r="M53" s="6" t="s">
        <v>971</v>
      </c>
      <c r="N53" s="6" t="s">
        <v>972</v>
      </c>
      <c r="O53" s="11" t="s">
        <v>123</v>
      </c>
      <c r="P53" s="11" t="s">
        <v>123</v>
      </c>
      <c r="Q53" s="11" t="s">
        <v>123</v>
      </c>
      <c r="R53" s="11" t="s">
        <v>123</v>
      </c>
      <c r="S53" s="6" t="s">
        <v>100</v>
      </c>
      <c r="T53" s="6" t="s">
        <v>101</v>
      </c>
      <c r="U53" s="11" t="s">
        <v>123</v>
      </c>
      <c r="V53" s="6" t="s">
        <v>75</v>
      </c>
      <c r="W53" s="6" t="s">
        <v>973</v>
      </c>
      <c r="X53" s="6" t="s">
        <v>128</v>
      </c>
      <c r="Y53" s="6" t="s">
        <v>129</v>
      </c>
      <c r="Z53" s="6" t="s">
        <v>129</v>
      </c>
      <c r="AA53" s="6" t="s">
        <v>974</v>
      </c>
      <c r="AB53" s="6" t="s">
        <v>975</v>
      </c>
      <c r="AC53" s="11" t="s">
        <v>123</v>
      </c>
      <c r="AD53" s="6" t="s">
        <v>976</v>
      </c>
      <c r="AE53" s="6" t="s">
        <v>110</v>
      </c>
      <c r="AF53" s="11" t="s">
        <v>961</v>
      </c>
      <c r="AG53" s="6" t="s">
        <v>962</v>
      </c>
      <c r="AH53" s="11" t="s">
        <v>977</v>
      </c>
    </row>
    <row r="54" customFormat="false" ht="22.35" hidden="false" customHeight="false" outlineLevel="0" collapsed="false">
      <c r="A54" s="6" t="s">
        <v>978</v>
      </c>
      <c r="B54" s="6" t="s">
        <v>979</v>
      </c>
      <c r="C54" s="7" t="n">
        <v>45917</v>
      </c>
      <c r="D54" s="6"/>
      <c r="E54" s="6" t="str">
        <f aca="false">IF(AND(ISNUMBER(C54),ISNUMBER(D54)),ROUND((D54-C54)/30.44,1),"")</f>
        <v/>
      </c>
      <c r="F54" s="8" t="s">
        <v>980</v>
      </c>
      <c r="G54" s="6" t="s">
        <v>981</v>
      </c>
      <c r="H54" s="6" t="s">
        <v>982</v>
      </c>
      <c r="I54" s="6" t="s">
        <v>983</v>
      </c>
      <c r="J54" s="6" t="s">
        <v>984</v>
      </c>
      <c r="K54" s="6" t="s">
        <v>985</v>
      </c>
      <c r="L54" s="9" t="n">
        <v>2800</v>
      </c>
      <c r="M54" s="10" t="n">
        <v>407.8</v>
      </c>
      <c r="N54" s="11" t="s">
        <v>986</v>
      </c>
      <c r="O54" s="11" t="s">
        <v>123</v>
      </c>
      <c r="P54" s="11" t="s">
        <v>123</v>
      </c>
      <c r="Q54" s="11" t="s">
        <v>123</v>
      </c>
      <c r="R54" s="11" t="s">
        <v>123</v>
      </c>
      <c r="S54" s="6" t="s">
        <v>100</v>
      </c>
      <c r="T54" s="6" t="s">
        <v>101</v>
      </c>
      <c r="U54" s="11" t="s">
        <v>987</v>
      </c>
      <c r="V54" s="6" t="s">
        <v>75</v>
      </c>
      <c r="W54" s="11" t="s">
        <v>988</v>
      </c>
      <c r="X54" s="6" t="s">
        <v>128</v>
      </c>
      <c r="Y54" s="11" t="s">
        <v>989</v>
      </c>
      <c r="Z54" s="11" t="s">
        <v>990</v>
      </c>
      <c r="AA54" s="6" t="s">
        <v>991</v>
      </c>
      <c r="AB54" s="6" t="s">
        <v>992</v>
      </c>
      <c r="AC54" s="6" t="s">
        <v>993</v>
      </c>
      <c r="AD54" s="11" t="s">
        <v>994</v>
      </c>
      <c r="AE54" s="6" t="s">
        <v>110</v>
      </c>
      <c r="AF54" s="11" t="s">
        <v>995</v>
      </c>
      <c r="AG54" s="6" t="s">
        <v>996</v>
      </c>
      <c r="AH54" s="11" t="s">
        <v>997</v>
      </c>
    </row>
    <row r="55" customFormat="false" ht="22.35" hidden="false" customHeight="false" outlineLevel="0" collapsed="false">
      <c r="A55" s="6" t="s">
        <v>998</v>
      </c>
      <c r="B55" s="6" t="s">
        <v>299</v>
      </c>
      <c r="C55" s="7" t="n">
        <v>45689</v>
      </c>
      <c r="D55" s="6"/>
      <c r="E55" s="6" t="str">
        <f aca="false">IF(AND(ISNUMBER(C55),ISNUMBER(D55)),ROUND((D55-C55)/30.44,1),"")</f>
        <v/>
      </c>
      <c r="F55" s="13" t="s">
        <v>999</v>
      </c>
      <c r="G55" s="6" t="s">
        <v>1000</v>
      </c>
      <c r="H55" s="6" t="s">
        <v>1001</v>
      </c>
      <c r="I55" s="6" t="s">
        <v>1002</v>
      </c>
      <c r="J55" s="6" t="s">
        <v>1003</v>
      </c>
      <c r="K55" s="6" t="s">
        <v>169</v>
      </c>
      <c r="L55" s="11" t="s">
        <v>1004</v>
      </c>
      <c r="M55" s="11" t="s">
        <v>123</v>
      </c>
      <c r="N55" s="6" t="s">
        <v>1005</v>
      </c>
      <c r="O55" s="6" t="s">
        <v>169</v>
      </c>
      <c r="P55" s="6" t="s">
        <v>169</v>
      </c>
      <c r="Q55" s="6" t="s">
        <v>169</v>
      </c>
      <c r="R55" s="6" t="s">
        <v>169</v>
      </c>
      <c r="S55" s="6" t="s">
        <v>755</v>
      </c>
      <c r="T55" s="6" t="s">
        <v>75</v>
      </c>
      <c r="U55" s="6" t="s">
        <v>169</v>
      </c>
      <c r="V55" s="6" t="s">
        <v>75</v>
      </c>
      <c r="W55" s="6" t="s">
        <v>1006</v>
      </c>
      <c r="X55" s="6" t="s">
        <v>129</v>
      </c>
      <c r="Y55" s="6" t="s">
        <v>129</v>
      </c>
      <c r="Z55" s="6" t="s">
        <v>129</v>
      </c>
      <c r="AA55" s="6" t="s">
        <v>1007</v>
      </c>
      <c r="AB55" s="6" t="s">
        <v>1008</v>
      </c>
      <c r="AC55" s="6" t="s">
        <v>708</v>
      </c>
      <c r="AD55" s="11" t="s">
        <v>1009</v>
      </c>
      <c r="AE55" s="6" t="s">
        <v>169</v>
      </c>
      <c r="AF55" s="6" t="s">
        <v>169</v>
      </c>
      <c r="AG55" s="6" t="s">
        <v>235</v>
      </c>
      <c r="AH55" s="6"/>
    </row>
    <row r="56" customFormat="false" ht="32.8" hidden="false" customHeight="false" outlineLevel="0" collapsed="false">
      <c r="A56" s="6" t="s">
        <v>1010</v>
      </c>
      <c r="B56" s="6" t="s">
        <v>1011</v>
      </c>
      <c r="C56" s="7" t="n">
        <v>45677</v>
      </c>
      <c r="D56" s="7" t="n">
        <v>45833</v>
      </c>
      <c r="E56" s="6" t="n">
        <f aca="false">IF(AND(ISNUMBER(C56),ISNUMBER(D56)),ROUND((D56-C56)/30.44,1),"")</f>
        <v>5.1</v>
      </c>
      <c r="F56" s="8" t="s">
        <v>1012</v>
      </c>
      <c r="G56" s="6" t="s">
        <v>1013</v>
      </c>
      <c r="H56" s="6" t="s">
        <v>1014</v>
      </c>
      <c r="I56" s="6" t="s">
        <v>1015</v>
      </c>
      <c r="J56" s="6" t="s">
        <v>1016</v>
      </c>
      <c r="K56" s="6" t="s">
        <v>169</v>
      </c>
      <c r="L56" s="11" t="s">
        <v>1017</v>
      </c>
      <c r="M56" s="11" t="s">
        <v>123</v>
      </c>
      <c r="N56" s="6" t="s">
        <v>1018</v>
      </c>
      <c r="O56" s="6" t="s">
        <v>169</v>
      </c>
      <c r="P56" s="6" t="s">
        <v>169</v>
      </c>
      <c r="Q56" s="6" t="s">
        <v>169</v>
      </c>
      <c r="R56" s="6" t="s">
        <v>169</v>
      </c>
      <c r="S56" s="6" t="s">
        <v>324</v>
      </c>
      <c r="T56" s="6" t="s">
        <v>75</v>
      </c>
      <c r="U56" s="6" t="s">
        <v>169</v>
      </c>
      <c r="V56" s="6" t="s">
        <v>1019</v>
      </c>
      <c r="W56" s="11" t="s">
        <v>1020</v>
      </c>
      <c r="X56" s="6" t="s">
        <v>1021</v>
      </c>
      <c r="Y56" s="6" t="s">
        <v>129</v>
      </c>
      <c r="Z56" s="6" t="s">
        <v>129</v>
      </c>
      <c r="AA56" s="6" t="s">
        <v>1022</v>
      </c>
      <c r="AB56" s="6" t="s">
        <v>1023</v>
      </c>
      <c r="AC56" s="6" t="s">
        <v>1024</v>
      </c>
      <c r="AD56" s="6" t="s">
        <v>1025</v>
      </c>
      <c r="AE56" s="6" t="s">
        <v>169</v>
      </c>
      <c r="AF56" s="6" t="s">
        <v>169</v>
      </c>
      <c r="AG56" s="11" t="s">
        <v>1026</v>
      </c>
      <c r="AH56" s="6"/>
    </row>
    <row r="57" customFormat="false" ht="22.35" hidden="false" customHeight="false" outlineLevel="0" collapsed="false">
      <c r="A57" s="6" t="s">
        <v>1027</v>
      </c>
      <c r="B57" s="6" t="s">
        <v>1028</v>
      </c>
      <c r="C57" s="7" t="n">
        <v>45982</v>
      </c>
      <c r="D57" s="6"/>
      <c r="E57" s="6" t="str">
        <f aca="false">IF(AND(ISNUMBER(C57),ISNUMBER(D57)),ROUND((D57-C57)/30.44,1),"")</f>
        <v/>
      </c>
      <c r="F57" s="13" t="s">
        <v>1029</v>
      </c>
      <c r="G57" s="6" t="s">
        <v>1030</v>
      </c>
      <c r="H57" s="6" t="s">
        <v>1031</v>
      </c>
      <c r="I57" s="6" t="s">
        <v>1032</v>
      </c>
      <c r="J57" s="6" t="s">
        <v>1033</v>
      </c>
      <c r="K57" s="6" t="s">
        <v>242</v>
      </c>
      <c r="L57" s="9" t="n">
        <v>1700</v>
      </c>
      <c r="M57" s="10" t="n">
        <v>256</v>
      </c>
      <c r="N57" s="11" t="s">
        <v>1034</v>
      </c>
      <c r="O57" s="11" t="s">
        <v>123</v>
      </c>
      <c r="P57" s="11" t="s">
        <v>123</v>
      </c>
      <c r="Q57" s="11" t="s">
        <v>123</v>
      </c>
      <c r="R57" s="11" t="s">
        <v>123</v>
      </c>
      <c r="S57" s="11" t="s">
        <v>1035</v>
      </c>
      <c r="T57" s="11" t="s">
        <v>1036</v>
      </c>
      <c r="U57" s="11" t="s">
        <v>1037</v>
      </c>
      <c r="V57" s="6" t="s">
        <v>75</v>
      </c>
      <c r="W57" s="6" t="s">
        <v>1038</v>
      </c>
      <c r="X57" s="6" t="s">
        <v>128</v>
      </c>
      <c r="Y57" s="11" t="s">
        <v>771</v>
      </c>
      <c r="Z57" s="6" t="s">
        <v>129</v>
      </c>
      <c r="AA57" s="6" t="s">
        <v>1039</v>
      </c>
      <c r="AB57" s="6" t="s">
        <v>1040</v>
      </c>
      <c r="AC57" s="11" t="s">
        <v>123</v>
      </c>
      <c r="AD57" s="11" t="s">
        <v>1041</v>
      </c>
      <c r="AE57" s="6" t="s">
        <v>828</v>
      </c>
      <c r="AF57" s="11" t="s">
        <v>123</v>
      </c>
      <c r="AG57" s="11" t="s">
        <v>1042</v>
      </c>
      <c r="AH57" s="6" t="s">
        <v>1043</v>
      </c>
    </row>
    <row r="58" customFormat="false" ht="43.25" hidden="false" customHeight="false" outlineLevel="0" collapsed="false">
      <c r="A58" s="6" t="s">
        <v>1044</v>
      </c>
      <c r="B58" s="6" t="s">
        <v>1045</v>
      </c>
      <c r="C58" s="7" t="n">
        <v>45350</v>
      </c>
      <c r="D58" s="7" t="n">
        <v>45992</v>
      </c>
      <c r="E58" s="6" t="n">
        <f aca="false">IF(AND(ISNUMBER(C58),ISNUMBER(D58)),ROUND((D58-C58)/30.44,1),"")</f>
        <v>21.1</v>
      </c>
      <c r="F58" s="8" t="s">
        <v>1046</v>
      </c>
      <c r="G58" s="6" t="s">
        <v>1047</v>
      </c>
      <c r="H58" s="6" t="s">
        <v>1048</v>
      </c>
      <c r="I58" s="6" t="s">
        <v>1049</v>
      </c>
      <c r="J58" s="6" t="s">
        <v>1050</v>
      </c>
      <c r="K58" s="6" t="s">
        <v>1051</v>
      </c>
      <c r="L58" s="6" t="s">
        <v>1052</v>
      </c>
      <c r="M58" s="6" t="s">
        <v>655</v>
      </c>
      <c r="N58" s="6" t="s">
        <v>1053</v>
      </c>
      <c r="O58" s="6" t="s">
        <v>1054</v>
      </c>
      <c r="P58" s="6" t="s">
        <v>169</v>
      </c>
      <c r="Q58" s="6" t="s">
        <v>169</v>
      </c>
      <c r="R58" s="6" t="s">
        <v>169</v>
      </c>
      <c r="S58" s="6" t="s">
        <v>1055</v>
      </c>
      <c r="T58" s="6" t="s">
        <v>1056</v>
      </c>
      <c r="U58" s="6" t="s">
        <v>169</v>
      </c>
      <c r="V58" s="6" t="s">
        <v>1057</v>
      </c>
      <c r="W58" s="11" t="s">
        <v>1058</v>
      </c>
      <c r="X58" s="6" t="s">
        <v>1059</v>
      </c>
      <c r="Y58" s="6" t="s">
        <v>129</v>
      </c>
      <c r="Z58" s="6" t="s">
        <v>129</v>
      </c>
      <c r="AA58" s="6" t="s">
        <v>1060</v>
      </c>
      <c r="AB58" s="6" t="s">
        <v>1061</v>
      </c>
      <c r="AC58" s="6" t="s">
        <v>1062</v>
      </c>
      <c r="AD58" s="11" t="s">
        <v>1063</v>
      </c>
      <c r="AE58" s="6" t="s">
        <v>1064</v>
      </c>
      <c r="AF58" s="11" t="s">
        <v>1065</v>
      </c>
      <c r="AG58" s="6" t="s">
        <v>1066</v>
      </c>
      <c r="AH58" s="6"/>
    </row>
    <row r="59" customFormat="false" ht="22.35" hidden="false" customHeight="false" outlineLevel="0" collapsed="false">
      <c r="A59" s="6" t="s">
        <v>1067</v>
      </c>
      <c r="B59" s="6" t="s">
        <v>1068</v>
      </c>
      <c r="C59" s="7" t="n">
        <v>46063</v>
      </c>
      <c r="D59" s="6"/>
      <c r="E59" s="6" t="str">
        <f aca="false">IF(AND(ISNUMBER(C59),ISNUMBER(D59)),ROUND((D59-C59)/30.44,1),"")</f>
        <v/>
      </c>
      <c r="F59" s="13" t="s">
        <v>933</v>
      </c>
      <c r="G59" s="6" t="s">
        <v>1069</v>
      </c>
      <c r="H59" s="6" t="s">
        <v>1070</v>
      </c>
      <c r="I59" s="6" t="s">
        <v>1071</v>
      </c>
      <c r="J59" s="6" t="s">
        <v>1072</v>
      </c>
      <c r="K59" s="6" t="s">
        <v>1073</v>
      </c>
      <c r="L59" s="9" t="n">
        <v>2900</v>
      </c>
      <c r="M59" s="6" t="s">
        <v>1074</v>
      </c>
      <c r="N59" s="6" t="s">
        <v>1075</v>
      </c>
      <c r="O59" s="6" t="s">
        <v>169</v>
      </c>
      <c r="P59" s="6" t="s">
        <v>169</v>
      </c>
      <c r="Q59" s="6" t="s">
        <v>169</v>
      </c>
      <c r="R59" s="6" t="s">
        <v>169</v>
      </c>
      <c r="S59" s="6" t="s">
        <v>100</v>
      </c>
      <c r="T59" s="6" t="s">
        <v>75</v>
      </c>
      <c r="U59" s="11" t="s">
        <v>123</v>
      </c>
      <c r="V59" s="6" t="s">
        <v>75</v>
      </c>
      <c r="W59" s="6" t="s">
        <v>103</v>
      </c>
      <c r="X59" s="6" t="s">
        <v>1076</v>
      </c>
      <c r="Y59" s="11" t="s">
        <v>1077</v>
      </c>
      <c r="Z59" s="6" t="s">
        <v>129</v>
      </c>
      <c r="AA59" s="6" t="s">
        <v>865</v>
      </c>
      <c r="AB59" s="6" t="s">
        <v>1078</v>
      </c>
      <c r="AC59" s="6" t="s">
        <v>103</v>
      </c>
      <c r="AD59" s="6" t="s">
        <v>1079</v>
      </c>
      <c r="AE59" s="6" t="s">
        <v>169</v>
      </c>
      <c r="AF59" s="6" t="s">
        <v>169</v>
      </c>
      <c r="AG59" s="6" t="s">
        <v>1080</v>
      </c>
      <c r="AH59" s="11" t="s">
        <v>1081</v>
      </c>
    </row>
    <row r="60" customFormat="false" ht="32.8" hidden="false" customHeight="false" outlineLevel="0" collapsed="false">
      <c r="A60" s="6" t="s">
        <v>1082</v>
      </c>
      <c r="B60" s="6" t="s">
        <v>1083</v>
      </c>
      <c r="C60" s="7" t="n">
        <v>46104</v>
      </c>
      <c r="D60" s="6"/>
      <c r="E60" s="6" t="str">
        <f aca="false">IF(AND(ISNUMBER(C60),ISNUMBER(D60)),ROUND((D60-C60)/30.44,1),"")</f>
        <v/>
      </c>
      <c r="F60" s="13" t="s">
        <v>1084</v>
      </c>
      <c r="G60" s="6" t="s">
        <v>1085</v>
      </c>
      <c r="H60" s="6" t="s">
        <v>1086</v>
      </c>
      <c r="I60" s="6" t="s">
        <v>1087</v>
      </c>
      <c r="J60" s="6" t="s">
        <v>1088</v>
      </c>
      <c r="K60" s="6" t="s">
        <v>1089</v>
      </c>
      <c r="L60" s="9" t="n">
        <v>3700</v>
      </c>
      <c r="M60" s="10" t="n">
        <v>590</v>
      </c>
      <c r="N60" s="6" t="s">
        <v>1090</v>
      </c>
      <c r="O60" s="6" t="s">
        <v>1091</v>
      </c>
      <c r="P60" s="6" t="s">
        <v>1091</v>
      </c>
      <c r="Q60" s="11" t="s">
        <v>1092</v>
      </c>
      <c r="R60" s="11" t="s">
        <v>1093</v>
      </c>
      <c r="S60" s="6" t="s">
        <v>100</v>
      </c>
      <c r="T60" s="11" t="s">
        <v>1036</v>
      </c>
      <c r="U60" s="11" t="s">
        <v>123</v>
      </c>
      <c r="V60" s="6" t="s">
        <v>75</v>
      </c>
      <c r="W60" s="6" t="s">
        <v>1094</v>
      </c>
      <c r="X60" s="6" t="s">
        <v>128</v>
      </c>
      <c r="Y60" s="6" t="s">
        <v>1095</v>
      </c>
      <c r="Z60" s="6" t="s">
        <v>1096</v>
      </c>
      <c r="AA60" s="11" t="s">
        <v>1097</v>
      </c>
      <c r="AB60" s="6" t="s">
        <v>1098</v>
      </c>
      <c r="AC60" s="11" t="s">
        <v>123</v>
      </c>
      <c r="AD60" s="11" t="s">
        <v>1099</v>
      </c>
      <c r="AE60" s="11" t="s">
        <v>1100</v>
      </c>
      <c r="AF60" s="11" t="s">
        <v>1101</v>
      </c>
      <c r="AG60" s="6" t="s">
        <v>1102</v>
      </c>
      <c r="AH60" s="6"/>
    </row>
    <row r="61" customFormat="false" ht="32.8" hidden="false" customHeight="false" outlineLevel="0" collapsed="false">
      <c r="A61" s="6" t="s">
        <v>1103</v>
      </c>
      <c r="B61" s="6" t="s">
        <v>1104</v>
      </c>
      <c r="C61" s="7" t="n">
        <v>46112</v>
      </c>
      <c r="D61" s="6"/>
      <c r="E61" s="6" t="str">
        <f aca="false">IF(AND(ISNUMBER(C61),ISNUMBER(D61)),ROUND((D61-C61)/30.44,1),"")</f>
        <v/>
      </c>
      <c r="F61" s="13" t="s">
        <v>1105</v>
      </c>
      <c r="G61" s="6" t="s">
        <v>1106</v>
      </c>
      <c r="H61" s="6" t="s">
        <v>1107</v>
      </c>
      <c r="I61" s="6" t="s">
        <v>1108</v>
      </c>
      <c r="J61" s="6" t="s">
        <v>1109</v>
      </c>
      <c r="K61" s="6" t="s">
        <v>1110</v>
      </c>
      <c r="L61" s="9" t="n">
        <v>3330</v>
      </c>
      <c r="M61" s="10" t="n">
        <v>528.6</v>
      </c>
      <c r="N61" s="6" t="s">
        <v>1111</v>
      </c>
      <c r="O61" s="6" t="s">
        <v>1112</v>
      </c>
      <c r="P61" s="6" t="s">
        <v>1112</v>
      </c>
      <c r="Q61" s="6" t="s">
        <v>1113</v>
      </c>
      <c r="R61" s="6" t="s">
        <v>1114</v>
      </c>
      <c r="S61" s="6" t="s">
        <v>1115</v>
      </c>
      <c r="T61" s="11" t="s">
        <v>1036</v>
      </c>
      <c r="U61" s="6" t="s">
        <v>1116</v>
      </c>
      <c r="V61" s="6" t="s">
        <v>1117</v>
      </c>
      <c r="W61" s="6" t="s">
        <v>1118</v>
      </c>
      <c r="X61" s="6" t="s">
        <v>128</v>
      </c>
      <c r="Y61" s="11" t="s">
        <v>1119</v>
      </c>
      <c r="Z61" s="11" t="s">
        <v>990</v>
      </c>
      <c r="AA61" s="6" t="s">
        <v>1120</v>
      </c>
      <c r="AB61" s="6" t="s">
        <v>1121</v>
      </c>
      <c r="AC61" s="6" t="s">
        <v>1122</v>
      </c>
      <c r="AD61" s="6" t="s">
        <v>1123</v>
      </c>
      <c r="AE61" s="6" t="s">
        <v>828</v>
      </c>
      <c r="AF61" s="11" t="s">
        <v>1124</v>
      </c>
      <c r="AG61" s="6" t="s">
        <v>1125</v>
      </c>
      <c r="AH61" s="6" t="s">
        <v>1126</v>
      </c>
    </row>
    <row r="62" customFormat="false" ht="32.8" hidden="false" customHeight="false" outlineLevel="0" collapsed="false">
      <c r="A62" s="6" t="s">
        <v>1127</v>
      </c>
      <c r="B62" s="6" t="s">
        <v>1128</v>
      </c>
      <c r="C62" s="7" t="n">
        <v>46107</v>
      </c>
      <c r="D62" s="6"/>
      <c r="E62" s="6" t="str">
        <f aca="false">IF(AND(ISNUMBER(C62),ISNUMBER(D62)),ROUND((D62-C62)/30.44,1),"")</f>
        <v/>
      </c>
      <c r="F62" s="13" t="s">
        <v>1129</v>
      </c>
      <c r="G62" s="6" t="s">
        <v>1130</v>
      </c>
      <c r="H62" s="6" t="s">
        <v>1131</v>
      </c>
      <c r="I62" s="6" t="s">
        <v>1132</v>
      </c>
      <c r="J62" s="6" t="s">
        <v>1133</v>
      </c>
      <c r="K62" s="6" t="s">
        <v>1134</v>
      </c>
      <c r="L62" s="9" t="n">
        <v>8300</v>
      </c>
      <c r="M62" s="6" t="s">
        <v>1135</v>
      </c>
      <c r="N62" s="6" t="s">
        <v>1136</v>
      </c>
      <c r="O62" s="11" t="s">
        <v>123</v>
      </c>
      <c r="P62" s="11" t="s">
        <v>123</v>
      </c>
      <c r="Q62" s="11" t="s">
        <v>123</v>
      </c>
      <c r="R62" s="11" t="s">
        <v>123</v>
      </c>
      <c r="S62" s="6" t="s">
        <v>1137</v>
      </c>
      <c r="T62" s="11" t="s">
        <v>1138</v>
      </c>
      <c r="U62" s="11" t="s">
        <v>1139</v>
      </c>
      <c r="V62" s="6" t="s">
        <v>1140</v>
      </c>
      <c r="W62" s="11" t="s">
        <v>1141</v>
      </c>
      <c r="X62" s="6" t="s">
        <v>128</v>
      </c>
      <c r="Y62" s="11" t="s">
        <v>1142</v>
      </c>
      <c r="Z62" s="6" t="s">
        <v>1143</v>
      </c>
      <c r="AA62" s="6" t="s">
        <v>1144</v>
      </c>
      <c r="AB62" s="6" t="s">
        <v>1145</v>
      </c>
      <c r="AC62" s="11" t="s">
        <v>123</v>
      </c>
      <c r="AD62" s="6" t="s">
        <v>1146</v>
      </c>
      <c r="AE62" s="11" t="s">
        <v>123</v>
      </c>
      <c r="AF62" s="11" t="s">
        <v>123</v>
      </c>
      <c r="AG62" s="6" t="s">
        <v>1147</v>
      </c>
      <c r="AH62" s="6" t="s">
        <v>1148</v>
      </c>
    </row>
    <row r="63" customFormat="false" ht="32.8" hidden="false" customHeight="false" outlineLevel="0" collapsed="false">
      <c r="A63" s="6" t="s">
        <v>1149</v>
      </c>
      <c r="B63" s="6" t="s">
        <v>1150</v>
      </c>
      <c r="C63" s="7" t="n">
        <v>46068</v>
      </c>
      <c r="D63" s="6"/>
      <c r="E63" s="6" t="str">
        <f aca="false">IF(AND(ISNUMBER(C63),ISNUMBER(D63)),ROUND((D63-C63)/30.44,1),"")</f>
        <v/>
      </c>
      <c r="F63" s="13" t="s">
        <v>1151</v>
      </c>
      <c r="G63" s="6" t="s">
        <v>1152</v>
      </c>
      <c r="H63" s="6" t="s">
        <v>1153</v>
      </c>
      <c r="I63" s="6" t="s">
        <v>1154</v>
      </c>
      <c r="J63" s="6" t="s">
        <v>602</v>
      </c>
      <c r="K63" s="6" t="s">
        <v>242</v>
      </c>
      <c r="L63" s="9" t="n">
        <v>1300</v>
      </c>
      <c r="M63" s="6" t="s">
        <v>1155</v>
      </c>
      <c r="N63" s="11" t="s">
        <v>1156</v>
      </c>
      <c r="O63" s="11" t="s">
        <v>123</v>
      </c>
      <c r="P63" s="11" t="s">
        <v>123</v>
      </c>
      <c r="Q63" s="11" t="s">
        <v>123</v>
      </c>
      <c r="R63" s="11" t="s">
        <v>123</v>
      </c>
      <c r="S63" s="11" t="s">
        <v>123</v>
      </c>
      <c r="T63" s="11" t="s">
        <v>123</v>
      </c>
      <c r="U63" s="11" t="s">
        <v>123</v>
      </c>
      <c r="V63" s="6" t="s">
        <v>75</v>
      </c>
      <c r="W63" s="11" t="s">
        <v>1157</v>
      </c>
      <c r="X63" s="6" t="s">
        <v>128</v>
      </c>
      <c r="Y63" s="6" t="s">
        <v>129</v>
      </c>
      <c r="Z63" s="6" t="s">
        <v>129</v>
      </c>
      <c r="AA63" s="6" t="s">
        <v>1039</v>
      </c>
      <c r="AB63" s="11" t="s">
        <v>123</v>
      </c>
      <c r="AC63" s="11" t="s">
        <v>123</v>
      </c>
      <c r="AD63" s="11" t="s">
        <v>1041</v>
      </c>
      <c r="AE63" s="11" t="s">
        <v>123</v>
      </c>
      <c r="AF63" s="11" t="s">
        <v>123</v>
      </c>
      <c r="AG63" s="11" t="s">
        <v>1158</v>
      </c>
      <c r="AH63" s="6" t="s">
        <v>1159</v>
      </c>
    </row>
    <row r="65" customFormat="false" ht="15" hidden="false" customHeight="false" outlineLevel="0" collapsed="false">
      <c r="A65" s="14" t="s">
        <v>1160</v>
      </c>
    </row>
    <row r="66" customFormat="false" ht="15" hidden="false" customHeight="false" outlineLevel="0" collapsed="false">
      <c r="A66" s="15" t="s">
        <v>1161</v>
      </c>
      <c r="B66" s="16" t="n">
        <f aca="false">COUNTA(A2:A63)</f>
        <v>62</v>
      </c>
    </row>
    <row r="67" customFormat="false" ht="15" hidden="false" customHeight="false" outlineLevel="0" collapsed="false">
      <c r="A67" s="15" t="s">
        <v>61</v>
      </c>
      <c r="B67" s="16" t="n">
        <f aca="false">COUNTIF(F2:F63,"Concluded*")</f>
        <v>49</v>
      </c>
    </row>
    <row r="68" customFormat="false" ht="15" hidden="false" customHeight="false" outlineLevel="0" collapsed="false">
      <c r="A68" s="15" t="s">
        <v>1162</v>
      </c>
      <c r="B68" s="16" t="n">
        <f aca="false">COUNTIF(F2:F63,"Failed*")</f>
        <v>4</v>
      </c>
    </row>
    <row r="69" customFormat="false" ht="15" hidden="false" customHeight="false" outlineLevel="0" collapsed="false">
      <c r="A69" s="15" t="s">
        <v>933</v>
      </c>
      <c r="B69" s="16" t="n">
        <f aca="false">COUNTIF(F2:F63,"In progress*")</f>
        <v>9</v>
      </c>
    </row>
    <row r="70" customFormat="false" ht="15" hidden="false" customHeight="false" outlineLevel="0" collapsed="false">
      <c r="A70" s="15" t="s">
        <v>1163</v>
      </c>
      <c r="B70" s="17" t="n">
        <f aca="false">SUM(L2:L63)</f>
        <v>257805</v>
      </c>
    </row>
    <row r="71" customFormat="false" ht="15" hidden="false" customHeight="false" outlineLevel="0" collapsed="false">
      <c r="A71" s="15" t="s">
        <v>1164</v>
      </c>
      <c r="B71" s="16" t="n">
        <f aca="false">COUNTIF(AG2:AG63,"Verified*")</f>
        <v>9</v>
      </c>
    </row>
    <row r="72" customFormat="false" ht="15" hidden="false" customHeight="false" outlineLevel="0" collapsed="false">
      <c r="A72" s="15" t="s">
        <v>158</v>
      </c>
      <c r="B72" s="16" t="n">
        <f aca="false">COUNTIF(AG2:AG63,"High*")</f>
        <v>18</v>
      </c>
    </row>
    <row r="73" customFormat="false" ht="15" hidden="false" customHeight="false" outlineLevel="0" collapsed="false">
      <c r="A73" s="15" t="s">
        <v>1165</v>
      </c>
      <c r="B73" s="16" t="n">
        <f aca="false">COUNTIF(AG2:AG63,"Medium*")+COUNTIF(AG2:AG63,"Low*")</f>
        <v>35</v>
      </c>
    </row>
  </sheetData>
  <autoFilter ref="A1:AH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4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5" t="s">
        <v>1166</v>
      </c>
      <c r="B1" s="5" t="s">
        <v>1167</v>
      </c>
      <c r="C1" s="5" t="s">
        <v>33</v>
      </c>
      <c r="D1" s="5" t="s">
        <v>1168</v>
      </c>
    </row>
    <row r="2" customFormat="false" ht="22.35" hidden="false" customHeight="false" outlineLevel="0" collapsed="false">
      <c r="A2" s="11" t="s">
        <v>1169</v>
      </c>
      <c r="B2" s="11" t="s">
        <v>1170</v>
      </c>
      <c r="C2" s="11" t="s">
        <v>1171</v>
      </c>
      <c r="D2" s="11" t="s">
        <v>1172</v>
      </c>
    </row>
    <row r="3" customFormat="false" ht="22.35" hidden="false" customHeight="false" outlineLevel="0" collapsed="false">
      <c r="A3" s="11" t="s">
        <v>1173</v>
      </c>
      <c r="B3" s="11" t="s">
        <v>1174</v>
      </c>
      <c r="C3" s="11" t="s">
        <v>1175</v>
      </c>
      <c r="D3" s="11" t="s">
        <v>1176</v>
      </c>
    </row>
    <row r="4" customFormat="false" ht="15" hidden="false" customHeight="false" outlineLevel="0" collapsed="false">
      <c r="A4" s="11" t="s">
        <v>1177</v>
      </c>
      <c r="B4" s="11" t="s">
        <v>1178</v>
      </c>
      <c r="C4" s="11" t="s">
        <v>1179</v>
      </c>
      <c r="D4" s="11" t="s">
        <v>1180</v>
      </c>
    </row>
    <row r="5" customFormat="false" ht="15" hidden="false" customHeight="false" outlineLevel="0" collapsed="false">
      <c r="A5" s="11" t="s">
        <v>1181</v>
      </c>
      <c r="B5" s="11" t="s">
        <v>1182</v>
      </c>
      <c r="C5" s="11" t="s">
        <v>1183</v>
      </c>
      <c r="D5" s="11" t="s">
        <v>1184</v>
      </c>
    </row>
    <row r="6" customFormat="false" ht="22.35" hidden="false" customHeight="false" outlineLevel="0" collapsed="false">
      <c r="A6" s="11" t="s">
        <v>1185</v>
      </c>
      <c r="B6" s="11" t="s">
        <v>1186</v>
      </c>
      <c r="C6" s="11" t="s">
        <v>1187</v>
      </c>
      <c r="D6" s="11" t="s">
        <v>1188</v>
      </c>
    </row>
    <row r="7" customFormat="false" ht="22.35" hidden="false" customHeight="false" outlineLevel="0" collapsed="false">
      <c r="A7" s="11" t="s">
        <v>1189</v>
      </c>
      <c r="B7" s="11" t="s">
        <v>1190</v>
      </c>
      <c r="C7" s="11" t="s">
        <v>1191</v>
      </c>
      <c r="D7" s="11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2026-07-03T18:24:29Z</dcterms:created>
  <dc:creator>openpyxl</dc:creator>
  <dc:description/>
  <dc:language>en-US</dc:language>
  <cp:lastModifiedBy/>
  <dcterms:modified xsi:type="dcterms:W3CDTF">2026-07-03T18:24:29Z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